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1000m/Desktop/0_MSc_NLP_Nancy/04_Internship_2019/01_Git/marta-v2/"/>
    </mc:Choice>
  </mc:AlternateContent>
  <xr:revisionPtr revIDLastSave="0" documentId="13_ncr:1_{36D08F0D-7063-4A4E-997A-4996E3685244}" xr6:coauthVersionLast="45" xr6:coauthVersionMax="45" xr10:uidLastSave="{00000000-0000-0000-0000-000000000000}"/>
  <bookViews>
    <workbookView xWindow="0" yWindow="0" windowWidth="28800" windowHeight="18000" activeTab="2" xr2:uid="{A7921827-F3B5-E740-A20B-1F9D577A603E}"/>
  </bookViews>
  <sheets>
    <sheet name="With class weights" sheetId="1" r:id="rId1"/>
    <sheet name="Without class weights" sheetId="2" r:id="rId2"/>
    <sheet name="Change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5" i="3" l="1"/>
  <c r="G35" i="3"/>
  <c r="F35" i="3"/>
  <c r="H25" i="3"/>
  <c r="G25" i="3"/>
  <c r="F25" i="3"/>
  <c r="H15" i="3"/>
  <c r="G15" i="3"/>
  <c r="F15" i="3"/>
  <c r="H5" i="3"/>
  <c r="G5" i="3"/>
  <c r="F5" i="3"/>
  <c r="H39" i="3"/>
  <c r="G39" i="3"/>
  <c r="F39" i="3"/>
  <c r="E39" i="3"/>
  <c r="D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H36" i="3"/>
  <c r="G36" i="3"/>
  <c r="F36" i="3"/>
  <c r="E36" i="3"/>
  <c r="D36" i="3"/>
  <c r="C36" i="3"/>
  <c r="E35" i="3"/>
  <c r="D35" i="3"/>
  <c r="C35" i="3"/>
  <c r="H34" i="3"/>
  <c r="G34" i="3"/>
  <c r="F34" i="3"/>
  <c r="E34" i="3"/>
  <c r="D34" i="3"/>
  <c r="C34" i="3"/>
  <c r="H33" i="3"/>
  <c r="G33" i="3"/>
  <c r="F33" i="3"/>
  <c r="E33" i="3"/>
  <c r="D33" i="3"/>
  <c r="C33" i="3"/>
  <c r="H29" i="3"/>
  <c r="G29" i="3"/>
  <c r="F29" i="3"/>
  <c r="E29" i="3"/>
  <c r="D29" i="3"/>
  <c r="C29" i="3"/>
  <c r="H28" i="3"/>
  <c r="G28" i="3"/>
  <c r="F28" i="3"/>
  <c r="E28" i="3"/>
  <c r="D28" i="3"/>
  <c r="C28" i="3"/>
  <c r="H27" i="3"/>
  <c r="G27" i="3"/>
  <c r="F27" i="3"/>
  <c r="E27" i="3"/>
  <c r="D27" i="3"/>
  <c r="C27" i="3"/>
  <c r="H26" i="3"/>
  <c r="G26" i="3"/>
  <c r="F26" i="3"/>
  <c r="E26" i="3"/>
  <c r="D26" i="3"/>
  <c r="C26" i="3"/>
  <c r="E25" i="3"/>
  <c r="D25" i="3"/>
  <c r="C25" i="3"/>
  <c r="H24" i="3"/>
  <c r="G24" i="3"/>
  <c r="F24" i="3"/>
  <c r="E24" i="3"/>
  <c r="D24" i="3"/>
  <c r="C24" i="3"/>
  <c r="H23" i="3"/>
  <c r="G23" i="3"/>
  <c r="F23" i="3"/>
  <c r="E23" i="3"/>
  <c r="D23" i="3"/>
  <c r="C23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C4" i="3"/>
  <c r="D4" i="3"/>
  <c r="E4" i="3"/>
  <c r="F4" i="3"/>
  <c r="G4" i="3"/>
  <c r="H4" i="3"/>
  <c r="C5" i="3"/>
  <c r="D5" i="3"/>
  <c r="E5" i="3"/>
  <c r="C6" i="3"/>
  <c r="D6" i="3"/>
  <c r="E6" i="3"/>
  <c r="F6" i="3"/>
  <c r="G6" i="3"/>
  <c r="H6" i="3"/>
  <c r="C7" i="3"/>
  <c r="D7" i="3"/>
  <c r="E7" i="3"/>
  <c r="F7" i="3"/>
  <c r="G7" i="3"/>
  <c r="H7" i="3"/>
  <c r="C8" i="3"/>
  <c r="D8" i="3"/>
  <c r="E8" i="3"/>
  <c r="F8" i="3"/>
  <c r="G8" i="3"/>
  <c r="H8" i="3"/>
  <c r="C9" i="3"/>
  <c r="D9" i="3"/>
  <c r="E9" i="3"/>
  <c r="F9" i="3"/>
  <c r="G9" i="3"/>
  <c r="H9" i="3"/>
  <c r="H3" i="3"/>
  <c r="G3" i="3"/>
  <c r="F3" i="3"/>
  <c r="E3" i="3"/>
  <c r="D3" i="3"/>
  <c r="C3" i="3"/>
  <c r="T35" i="3"/>
  <c r="S35" i="3"/>
  <c r="R35" i="3"/>
  <c r="Q35" i="3"/>
  <c r="P35" i="3"/>
  <c r="O35" i="3"/>
  <c r="N35" i="3"/>
  <c r="M35" i="3"/>
  <c r="L35" i="3"/>
  <c r="K35" i="3"/>
  <c r="J35" i="3"/>
  <c r="I35" i="3"/>
  <c r="T33" i="3"/>
  <c r="S33" i="3"/>
  <c r="R33" i="3"/>
  <c r="Q33" i="3"/>
  <c r="P33" i="3"/>
  <c r="O33" i="3"/>
  <c r="N33" i="3"/>
  <c r="M33" i="3"/>
  <c r="L33" i="3"/>
  <c r="K33" i="3"/>
  <c r="J33" i="3"/>
  <c r="I33" i="3"/>
  <c r="T25" i="3"/>
  <c r="S25" i="3"/>
  <c r="R25" i="3"/>
  <c r="Q25" i="3"/>
  <c r="P25" i="3"/>
  <c r="O25" i="3"/>
  <c r="N25" i="3"/>
  <c r="M25" i="3"/>
  <c r="L25" i="3"/>
  <c r="K25" i="3"/>
  <c r="J25" i="3"/>
  <c r="I25" i="3"/>
  <c r="T23" i="3"/>
  <c r="S23" i="3"/>
  <c r="R23" i="3"/>
  <c r="Q23" i="3"/>
  <c r="P23" i="3"/>
  <c r="O23" i="3"/>
  <c r="N23" i="3"/>
  <c r="M23" i="3"/>
  <c r="L23" i="3"/>
  <c r="K23" i="3"/>
  <c r="J23" i="3"/>
  <c r="I23" i="3"/>
  <c r="T15" i="3"/>
  <c r="S15" i="3"/>
  <c r="R15" i="3"/>
  <c r="Q15" i="3"/>
  <c r="P15" i="3"/>
  <c r="O15" i="3"/>
  <c r="N15" i="3"/>
  <c r="M15" i="3"/>
  <c r="L15" i="3"/>
  <c r="K15" i="3"/>
  <c r="J15" i="3"/>
  <c r="I15" i="3"/>
  <c r="T13" i="3"/>
  <c r="S13" i="3"/>
  <c r="R13" i="3"/>
  <c r="Q13" i="3"/>
  <c r="P13" i="3"/>
  <c r="O13" i="3"/>
  <c r="N13" i="3"/>
  <c r="M13" i="3"/>
  <c r="L13" i="3"/>
  <c r="K13" i="3"/>
  <c r="J13" i="3"/>
  <c r="I13" i="3"/>
  <c r="T5" i="3"/>
  <c r="S5" i="3"/>
  <c r="R5" i="3"/>
  <c r="Q5" i="3"/>
  <c r="P5" i="3"/>
  <c r="O5" i="3"/>
  <c r="N5" i="3"/>
  <c r="M5" i="3"/>
  <c r="L5" i="3"/>
  <c r="K5" i="3"/>
  <c r="J5" i="3"/>
  <c r="I5" i="3"/>
  <c r="T39" i="2"/>
  <c r="S39" i="2"/>
  <c r="R39" i="2"/>
  <c r="N39" i="2"/>
  <c r="M39" i="2"/>
  <c r="L39" i="2"/>
  <c r="T38" i="2"/>
  <c r="S38" i="2"/>
  <c r="R38" i="2"/>
  <c r="N38" i="2"/>
  <c r="M38" i="2"/>
  <c r="L38" i="2"/>
  <c r="T36" i="2"/>
  <c r="S36" i="2"/>
  <c r="R36" i="2"/>
  <c r="Q36" i="2"/>
  <c r="P36" i="2"/>
  <c r="O36" i="2"/>
  <c r="N36" i="2"/>
  <c r="M36" i="2"/>
  <c r="L36" i="2"/>
  <c r="T29" i="2"/>
  <c r="S29" i="2"/>
  <c r="R29" i="2"/>
  <c r="N29" i="2"/>
  <c r="M29" i="2"/>
  <c r="L29" i="2"/>
  <c r="T28" i="2"/>
  <c r="S28" i="2"/>
  <c r="R28" i="2"/>
  <c r="N28" i="2"/>
  <c r="M28" i="2"/>
  <c r="L28" i="2"/>
  <c r="T26" i="2"/>
  <c r="S26" i="2"/>
  <c r="R26" i="2"/>
  <c r="Q26" i="2"/>
  <c r="P26" i="2"/>
  <c r="O26" i="2"/>
  <c r="N26" i="2"/>
  <c r="M26" i="2"/>
  <c r="L26" i="2"/>
  <c r="T19" i="2"/>
  <c r="S19" i="2"/>
  <c r="R19" i="2"/>
  <c r="N19" i="2"/>
  <c r="M19" i="2"/>
  <c r="L19" i="2"/>
  <c r="T18" i="2"/>
  <c r="S18" i="2"/>
  <c r="R18" i="2"/>
  <c r="N18" i="2"/>
  <c r="M18" i="2"/>
  <c r="L18" i="2"/>
  <c r="T16" i="2"/>
  <c r="S16" i="2"/>
  <c r="R16" i="2"/>
  <c r="Q16" i="2"/>
  <c r="P16" i="2"/>
  <c r="O16" i="2"/>
  <c r="N16" i="2"/>
  <c r="M16" i="2"/>
  <c r="L16" i="2"/>
  <c r="T34" i="2"/>
  <c r="S34" i="2"/>
  <c r="R34" i="2"/>
  <c r="Q34" i="2"/>
  <c r="P34" i="2"/>
  <c r="O34" i="2"/>
  <c r="N34" i="2"/>
  <c r="M34" i="2"/>
  <c r="L34" i="2"/>
  <c r="T24" i="2"/>
  <c r="S24" i="2"/>
  <c r="R24" i="2"/>
  <c r="Q24" i="2"/>
  <c r="P24" i="2"/>
  <c r="O24" i="2"/>
  <c r="N24" i="2"/>
  <c r="M24" i="2"/>
  <c r="L24" i="2"/>
  <c r="T14" i="2"/>
  <c r="S14" i="2"/>
  <c r="R14" i="2"/>
  <c r="Q14" i="2"/>
  <c r="P14" i="2"/>
  <c r="O14" i="2"/>
  <c r="N14" i="2"/>
  <c r="M14" i="2"/>
  <c r="L14" i="2"/>
  <c r="T9" i="2"/>
  <c r="S9" i="2"/>
  <c r="R9" i="2"/>
  <c r="N9" i="2"/>
  <c r="M9" i="2"/>
  <c r="L9" i="2"/>
  <c r="T8" i="2"/>
  <c r="S8" i="2"/>
  <c r="R8" i="2"/>
  <c r="N8" i="2"/>
  <c r="M8" i="2"/>
  <c r="L8" i="2"/>
  <c r="T6" i="2"/>
  <c r="S6" i="2"/>
  <c r="R6" i="2"/>
  <c r="Q6" i="2"/>
  <c r="P6" i="2"/>
  <c r="O6" i="2"/>
  <c r="N6" i="2"/>
  <c r="M6" i="2"/>
  <c r="L6" i="2"/>
  <c r="T4" i="2"/>
  <c r="S4" i="2"/>
  <c r="R4" i="2"/>
  <c r="Q4" i="2"/>
  <c r="P4" i="2"/>
  <c r="O4" i="2"/>
  <c r="N4" i="2"/>
  <c r="M4" i="2"/>
  <c r="L4" i="2"/>
  <c r="T3" i="3"/>
  <c r="S3" i="3"/>
  <c r="R3" i="3"/>
  <c r="Q3" i="3"/>
  <c r="P3" i="3"/>
  <c r="O3" i="3"/>
  <c r="N3" i="3"/>
  <c r="M3" i="3"/>
  <c r="L3" i="3"/>
  <c r="I3" i="3"/>
  <c r="J3" i="3"/>
  <c r="K3" i="3"/>
  <c r="L18" i="3" l="1"/>
  <c r="S18" i="3"/>
  <c r="S19" i="3"/>
  <c r="N19" i="3"/>
  <c r="L28" i="3"/>
  <c r="S28" i="3"/>
  <c r="N28" i="3"/>
  <c r="S29" i="3"/>
  <c r="N29" i="3"/>
  <c r="S38" i="3"/>
  <c r="N38" i="3"/>
  <c r="L39" i="3"/>
  <c r="L26" i="3"/>
  <c r="L34" i="3"/>
  <c r="P14" i="3"/>
  <c r="N14" i="3"/>
  <c r="R14" i="3"/>
  <c r="P16" i="3"/>
  <c r="T19" i="3"/>
  <c r="R16" i="3"/>
  <c r="M28" i="3"/>
  <c r="T28" i="3"/>
  <c r="R28" i="3"/>
  <c r="M29" i="3"/>
  <c r="N26" i="3"/>
  <c r="R29" i="3"/>
  <c r="P34" i="3"/>
  <c r="T38" i="3"/>
  <c r="R38" i="3"/>
  <c r="M39" i="3"/>
  <c r="Q14" i="3"/>
  <c r="Q24" i="3"/>
  <c r="Q26" i="3"/>
  <c r="S26" i="3"/>
  <c r="S4" i="3"/>
  <c r="T8" i="3"/>
  <c r="T6" i="3"/>
  <c r="T36" i="3"/>
  <c r="S34" i="3"/>
  <c r="Q36" i="3"/>
  <c r="R39" i="3"/>
  <c r="M16" i="3"/>
  <c r="N16" i="3"/>
  <c r="L29" i="3"/>
  <c r="T29" i="3"/>
  <c r="P26" i="3"/>
  <c r="P24" i="3"/>
  <c r="R34" i="3"/>
  <c r="M19" i="3"/>
  <c r="S39" i="3"/>
  <c r="N39" i="3"/>
  <c r="N34" i="3"/>
  <c r="Q4" i="3"/>
  <c r="R18" i="3"/>
  <c r="T24" i="3"/>
  <c r="R26" i="3"/>
  <c r="L36" i="3"/>
  <c r="M38" i="3"/>
  <c r="L24" i="3"/>
  <c r="P36" i="3"/>
  <c r="T9" i="3"/>
  <c r="R4" i="3"/>
  <c r="M4" i="3"/>
  <c r="S6" i="3"/>
  <c r="O16" i="3"/>
  <c r="M26" i="3"/>
  <c r="O34" i="3"/>
  <c r="N8" i="3"/>
  <c r="S8" i="3"/>
  <c r="M9" i="3"/>
  <c r="T39" i="3"/>
  <c r="S24" i="3"/>
  <c r="Q34" i="3"/>
  <c r="S36" i="3"/>
  <c r="M34" i="3"/>
  <c r="P4" i="3"/>
  <c r="O26" i="3"/>
  <c r="R8" i="3"/>
  <c r="P6" i="3"/>
  <c r="M14" i="3"/>
  <c r="N4" i="3"/>
  <c r="L4" i="3"/>
  <c r="O24" i="3"/>
  <c r="O36" i="3"/>
  <c r="Q6" i="3"/>
  <c r="L9" i="3"/>
  <c r="M6" i="3"/>
  <c r="N9" i="3"/>
  <c r="N18" i="3"/>
  <c r="S9" i="3"/>
  <c r="N6" i="3"/>
  <c r="R9" i="3"/>
  <c r="T14" i="3"/>
  <c r="R19" i="3"/>
  <c r="S16" i="3"/>
  <c r="L38" i="3"/>
  <c r="Q16" i="3"/>
  <c r="L19" i="3"/>
  <c r="M18" i="3"/>
  <c r="O14" i="3"/>
  <c r="L14" i="3"/>
  <c r="L6" i="3"/>
  <c r="M8" i="3"/>
  <c r="M36" i="3"/>
  <c r="N36" i="3"/>
  <c r="R36" i="3"/>
  <c r="T34" i="3"/>
  <c r="T26" i="3"/>
  <c r="M24" i="3"/>
  <c r="N24" i="3"/>
  <c r="R24" i="3"/>
  <c r="L16" i="3"/>
  <c r="T16" i="3"/>
  <c r="S14" i="3"/>
  <c r="T18" i="3"/>
  <c r="R6" i="3"/>
  <c r="O6" i="3"/>
  <c r="L8" i="3"/>
  <c r="O4" i="3"/>
  <c r="T4" i="3"/>
  <c r="R39" i="1"/>
  <c r="O36" i="1"/>
  <c r="R36" i="1" l="1"/>
  <c r="Q36" i="1"/>
  <c r="P36" i="1"/>
  <c r="Q26" i="1"/>
  <c r="P26" i="1"/>
  <c r="O26" i="1"/>
  <c r="Q16" i="1"/>
  <c r="P16" i="1"/>
  <c r="O16" i="1"/>
  <c r="Q4" i="1"/>
  <c r="P4" i="1"/>
  <c r="O4" i="1"/>
  <c r="Q14" i="1"/>
  <c r="P14" i="1"/>
  <c r="O14" i="1"/>
  <c r="Q24" i="1"/>
  <c r="P24" i="1"/>
  <c r="O24" i="1"/>
  <c r="P34" i="1"/>
  <c r="Q34" i="1"/>
  <c r="O34" i="1"/>
  <c r="Q6" i="1"/>
  <c r="P6" i="1"/>
  <c r="O6" i="1"/>
  <c r="L8" i="1"/>
  <c r="T9" i="1"/>
  <c r="S9" i="1"/>
  <c r="R9" i="1"/>
  <c r="T8" i="1"/>
  <c r="S8" i="1"/>
  <c r="R8" i="1"/>
  <c r="T19" i="1"/>
  <c r="S19" i="1"/>
  <c r="R19" i="1"/>
  <c r="T18" i="1"/>
  <c r="S18" i="1"/>
  <c r="R18" i="1"/>
  <c r="T29" i="1"/>
  <c r="S29" i="1"/>
  <c r="R29" i="1"/>
  <c r="T28" i="1"/>
  <c r="S28" i="1"/>
  <c r="R28" i="1"/>
  <c r="S39" i="1"/>
  <c r="T39" i="1"/>
  <c r="S38" i="1"/>
  <c r="T38" i="1"/>
  <c r="R38" i="1"/>
  <c r="N36" i="1"/>
  <c r="M36" i="1"/>
  <c r="L36" i="1"/>
  <c r="N26" i="1"/>
  <c r="M26" i="1"/>
  <c r="L26" i="1"/>
  <c r="N16" i="1"/>
  <c r="M16" i="1"/>
  <c r="L16" i="1"/>
  <c r="N14" i="1"/>
  <c r="M14" i="1"/>
  <c r="L14" i="1"/>
  <c r="N24" i="1"/>
  <c r="M24" i="1"/>
  <c r="L24" i="1"/>
  <c r="N34" i="1"/>
  <c r="M34" i="1"/>
  <c r="L34" i="1"/>
  <c r="T34" i="1"/>
  <c r="S34" i="1"/>
  <c r="R34" i="1"/>
  <c r="T24" i="1"/>
  <c r="S24" i="1"/>
  <c r="R24" i="1"/>
  <c r="T14" i="1"/>
  <c r="S14" i="1"/>
  <c r="R14" i="1"/>
  <c r="T4" i="1"/>
  <c r="S4" i="1"/>
  <c r="R4" i="1"/>
  <c r="T36" i="1"/>
  <c r="S36" i="1"/>
  <c r="T26" i="1"/>
  <c r="S26" i="1"/>
  <c r="R26" i="1"/>
  <c r="T16" i="1"/>
  <c r="S16" i="1"/>
  <c r="R16" i="1"/>
  <c r="T6" i="1"/>
  <c r="S6" i="1"/>
  <c r="R6" i="1"/>
  <c r="M6" i="1"/>
  <c r="N6" i="1"/>
  <c r="L6" i="1"/>
  <c r="M4" i="1"/>
  <c r="N4" i="1"/>
  <c r="L4" i="1"/>
  <c r="N39" i="1"/>
  <c r="M39" i="1"/>
  <c r="L39" i="1"/>
  <c r="N38" i="1"/>
  <c r="M38" i="1"/>
  <c r="L38" i="1"/>
  <c r="N29" i="1"/>
  <c r="M29" i="1"/>
  <c r="L29" i="1"/>
  <c r="N28" i="1"/>
  <c r="M28" i="1"/>
  <c r="L28" i="1"/>
  <c r="N19" i="1"/>
  <c r="M19" i="1"/>
  <c r="L19" i="1"/>
  <c r="N18" i="1"/>
  <c r="M18" i="1"/>
  <c r="L18" i="1"/>
  <c r="M8" i="1"/>
  <c r="N8" i="1"/>
  <c r="M9" i="1"/>
  <c r="N9" i="1"/>
  <c r="L9" i="1"/>
</calcChain>
</file>

<file path=xl/sharedStrings.xml><?xml version="1.0" encoding="utf-8"?>
<sst xmlns="http://schemas.openxmlformats.org/spreadsheetml/2006/main" count="456" uniqueCount="22">
  <si>
    <t>d101_PTB_Gold_Run1</t>
  </si>
  <si>
    <t>train</t>
  </si>
  <si>
    <t>test</t>
  </si>
  <si>
    <t>dev</t>
  </si>
  <si>
    <t>d102_PTB_Auto_Run1</t>
  </si>
  <si>
    <t>d104_PTB_Auto_Run2</t>
  </si>
  <si>
    <t>d105_UD1_Gold_Run2</t>
  </si>
  <si>
    <t>d106_UD1_Auto_Run2</t>
  </si>
  <si>
    <t>PitlerNenkova_Conn</t>
  </si>
  <si>
    <t>PitlerNenkova_Syn</t>
  </si>
  <si>
    <t>Li_etal16</t>
  </si>
  <si>
    <t>PitlerNenkova_Conn, PitlerNenkova_Syn</t>
  </si>
  <si>
    <t>PitlerNenkova_Conn, PitlerNenkova_Syn, PitlerNenkova_ConnSyn</t>
  </si>
  <si>
    <t>PitlerNenkova_Conn, PitlerNenkova_Syn, PitlerNenkova_ConnSyn, PitlerNenkova_SynSyn</t>
  </si>
  <si>
    <t>Lin_etal</t>
  </si>
  <si>
    <t>Accuracy</t>
  </si>
  <si>
    <t>F1 Macro</t>
  </si>
  <si>
    <t>F1 Micro</t>
  </si>
  <si>
    <t>F1 Weighted</t>
  </si>
  <si>
    <t>d103_PTB_Gold_Run2</t>
  </si>
  <si>
    <t>PTB to UD</t>
  </si>
  <si>
    <t>P&amp;N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</si>
</sst>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0"/>
      <color theme="1"/>
      <name val="Var(--jp-code-font-family)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0"/>
      <name val="Arial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0" fontId="2" fillId="2" borderId="0" xfId="0" applyNumberFormat="1" applyFont="1" applyFill="1"/>
    <xf numFmtId="10" fontId="2" fillId="2" borderId="1" xfId="0" applyNumberFormat="1" applyFont="1" applyFill="1" applyBorder="1"/>
    <xf numFmtId="10" fontId="2" fillId="2" borderId="2" xfId="0" applyNumberFormat="1" applyFont="1" applyFill="1" applyBorder="1"/>
    <xf numFmtId="10" fontId="2" fillId="2" borderId="3" xfId="0" applyNumberFormat="1" applyFont="1" applyFill="1" applyBorder="1"/>
    <xf numFmtId="10" fontId="0" fillId="2" borderId="0" xfId="0" applyNumberFormat="1" applyFill="1"/>
    <xf numFmtId="10" fontId="2" fillId="2" borderId="6" xfId="0" applyNumberFormat="1" applyFont="1" applyFill="1" applyBorder="1"/>
    <xf numFmtId="10" fontId="2" fillId="2" borderId="7" xfId="0" applyNumberFormat="1" applyFont="1" applyFill="1" applyBorder="1"/>
    <xf numFmtId="10" fontId="2" fillId="2" borderId="8" xfId="0" applyNumberFormat="1" applyFont="1" applyFill="1" applyBorder="1"/>
    <xf numFmtId="10" fontId="3" fillId="2" borderId="6" xfId="0" applyNumberFormat="1" applyFont="1" applyFill="1" applyBorder="1"/>
    <xf numFmtId="10" fontId="3" fillId="2" borderId="7" xfId="0" applyNumberFormat="1" applyFont="1" applyFill="1" applyBorder="1"/>
    <xf numFmtId="10" fontId="3" fillId="2" borderId="8" xfId="0" applyNumberFormat="1" applyFont="1" applyFill="1" applyBorder="1"/>
    <xf numFmtId="10" fontId="2" fillId="2" borderId="4" xfId="0" applyNumberFormat="1" applyFont="1" applyFill="1" applyBorder="1"/>
    <xf numFmtId="10" fontId="2" fillId="2" borderId="0" xfId="0" applyNumberFormat="1" applyFont="1" applyFill="1" applyBorder="1"/>
    <xf numFmtId="10" fontId="2" fillId="2" borderId="5" xfId="0" applyNumberFormat="1" applyFont="1" applyFill="1" applyBorder="1"/>
    <xf numFmtId="10" fontId="4" fillId="2" borderId="4" xfId="0" applyNumberFormat="1" applyFont="1" applyFill="1" applyBorder="1"/>
    <xf numFmtId="10" fontId="4" fillId="2" borderId="0" xfId="0" applyNumberFormat="1" applyFont="1" applyFill="1" applyBorder="1"/>
    <xf numFmtId="10" fontId="4" fillId="3" borderId="4" xfId="0" applyNumberFormat="1" applyFont="1" applyFill="1" applyBorder="1"/>
    <xf numFmtId="10" fontId="4" fillId="3" borderId="0" xfId="0" applyNumberFormat="1" applyFont="1" applyFill="1" applyBorder="1"/>
    <xf numFmtId="10" fontId="4" fillId="3" borderId="5" xfId="0" applyNumberFormat="1" applyFont="1" applyFill="1" applyBorder="1"/>
    <xf numFmtId="10" fontId="4" fillId="5" borderId="4" xfId="0" applyNumberFormat="1" applyFont="1" applyFill="1" applyBorder="1"/>
    <xf numFmtId="10" fontId="4" fillId="5" borderId="0" xfId="0" applyNumberFormat="1" applyFont="1" applyFill="1" applyBorder="1"/>
    <xf numFmtId="10" fontId="4" fillId="5" borderId="5" xfId="0" applyNumberFormat="1" applyFont="1" applyFill="1" applyBorder="1"/>
    <xf numFmtId="10" fontId="4" fillId="2" borderId="5" xfId="0" applyNumberFormat="1" applyFont="1" applyFill="1" applyBorder="1"/>
    <xf numFmtId="10" fontId="2" fillId="4" borderId="4" xfId="0" applyNumberFormat="1" applyFont="1" applyFill="1" applyBorder="1"/>
    <xf numFmtId="10" fontId="2" fillId="4" borderId="0" xfId="0" applyNumberFormat="1" applyFont="1" applyFill="1" applyBorder="1"/>
    <xf numFmtId="10" fontId="2" fillId="4" borderId="5" xfId="0" applyNumberFormat="1" applyFont="1" applyFill="1" applyBorder="1"/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10" fontId="2" fillId="4" borderId="8" xfId="0" applyNumberFormat="1" applyFont="1" applyFill="1" applyBorder="1"/>
    <xf numFmtId="10" fontId="1" fillId="2" borderId="0" xfId="0" applyNumberFormat="1" applyFont="1" applyFill="1"/>
    <xf numFmtId="0" fontId="1" fillId="0" borderId="0" xfId="0" applyFont="1"/>
    <xf numFmtId="10" fontId="3" fillId="2" borderId="4" xfId="0" applyNumberFormat="1" applyFont="1" applyFill="1" applyBorder="1"/>
    <xf numFmtId="10" fontId="3" fillId="2" borderId="0" xfId="0" applyNumberFormat="1" applyFont="1" applyFill="1" applyBorder="1"/>
    <xf numFmtId="10" fontId="3" fillId="2" borderId="5" xfId="0" applyNumberFormat="1" applyFont="1" applyFill="1" applyBorder="1"/>
    <xf numFmtId="10" fontId="2" fillId="2" borderId="9" xfId="0" applyNumberFormat="1" applyFont="1" applyFill="1" applyBorder="1"/>
    <xf numFmtId="10" fontId="2" fillId="2" borderId="10" xfId="0" applyNumberFormat="1" applyFont="1" applyFill="1" applyBorder="1"/>
    <xf numFmtId="10" fontId="2" fillId="2" borderId="11" xfId="0" applyNumberFormat="1" applyFont="1" applyFill="1" applyBorder="1"/>
    <xf numFmtId="10" fontId="5" fillId="2" borderId="1" xfId="0" applyNumberFormat="1" applyFont="1" applyFill="1" applyBorder="1"/>
    <xf numFmtId="10" fontId="5" fillId="2" borderId="2" xfId="0" applyNumberFormat="1" applyFont="1" applyFill="1" applyBorder="1"/>
    <xf numFmtId="10" fontId="5" fillId="2" borderId="3" xfId="0" applyNumberFormat="1" applyFont="1" applyFill="1" applyBorder="1"/>
    <xf numFmtId="10" fontId="5" fillId="2" borderId="0" xfId="0" applyNumberFormat="1" applyFont="1" applyFill="1" applyBorder="1"/>
    <xf numFmtId="10" fontId="5" fillId="2" borderId="5" xfId="0" applyNumberFormat="1" applyFont="1" applyFill="1" applyBorder="1"/>
    <xf numFmtId="10" fontId="5" fillId="2" borderId="4" xfId="0" applyNumberFormat="1" applyFont="1" applyFill="1" applyBorder="1"/>
    <xf numFmtId="10" fontId="5" fillId="3" borderId="0" xfId="0" applyNumberFormat="1" applyFont="1" applyFill="1" applyBorder="1"/>
    <xf numFmtId="10" fontId="2" fillId="0" borderId="0" xfId="0" applyNumberFormat="1" applyFont="1"/>
    <xf numFmtId="10" fontId="0" fillId="0" borderId="4" xfId="0" applyNumberFormat="1" applyBorder="1"/>
    <xf numFmtId="10" fontId="0" fillId="0" borderId="5" xfId="0" applyNumberFormat="1" applyBorder="1"/>
    <xf numFmtId="10" fontId="0" fillId="0" borderId="10" xfId="0" applyNumberFormat="1" applyBorder="1"/>
    <xf numFmtId="10" fontId="0" fillId="2" borderId="10" xfId="0" applyNumberFormat="1" applyFill="1" applyBorder="1"/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2D09-6B51-224B-B1FE-4A234708CDD3}">
  <dimension ref="A1:T57"/>
  <sheetViews>
    <sheetView workbookViewId="0">
      <selection activeCell="M28" sqref="M28"/>
    </sheetView>
  </sheetViews>
  <sheetFormatPr baseColWidth="10" defaultRowHeight="16"/>
  <cols>
    <col min="1" max="1" width="12.6640625" style="5" bestFit="1" customWidth="1"/>
    <col min="2" max="2" width="12.1640625" style="5" customWidth="1"/>
    <col min="3" max="16384" width="10.83203125" style="5"/>
  </cols>
  <sheetData>
    <row r="1" spans="1:20">
      <c r="A1" s="1"/>
      <c r="B1" s="1"/>
      <c r="C1" s="2" t="s">
        <v>0</v>
      </c>
      <c r="D1" s="3"/>
      <c r="E1" s="4"/>
      <c r="F1" s="2" t="s">
        <v>4</v>
      </c>
      <c r="G1" s="3"/>
      <c r="H1" s="4"/>
      <c r="I1" s="2" t="s">
        <v>19</v>
      </c>
      <c r="J1" s="3"/>
      <c r="K1" s="4"/>
      <c r="L1" s="2" t="s">
        <v>5</v>
      </c>
      <c r="M1" s="3"/>
      <c r="N1" s="3"/>
      <c r="O1" s="2" t="s">
        <v>6</v>
      </c>
      <c r="P1" s="3"/>
      <c r="Q1" s="4"/>
      <c r="R1" s="3" t="s">
        <v>7</v>
      </c>
      <c r="S1" s="3"/>
      <c r="T1" s="4"/>
    </row>
    <row r="2" spans="1:20">
      <c r="A2" s="1"/>
      <c r="B2" s="1"/>
      <c r="C2" s="6" t="s">
        <v>1</v>
      </c>
      <c r="D2" s="7" t="s">
        <v>3</v>
      </c>
      <c r="E2" s="8" t="s">
        <v>2</v>
      </c>
      <c r="F2" s="6" t="s">
        <v>1</v>
      </c>
      <c r="G2" s="7" t="s">
        <v>3</v>
      </c>
      <c r="H2" s="8" t="s">
        <v>2</v>
      </c>
      <c r="I2" s="9" t="s">
        <v>1</v>
      </c>
      <c r="J2" s="10" t="s">
        <v>3</v>
      </c>
      <c r="K2" s="11" t="s">
        <v>2</v>
      </c>
      <c r="L2" s="9" t="s">
        <v>1</v>
      </c>
      <c r="M2" s="10" t="s">
        <v>3</v>
      </c>
      <c r="N2" s="10" t="s">
        <v>2</v>
      </c>
      <c r="O2" s="9" t="s">
        <v>1</v>
      </c>
      <c r="P2" s="10" t="s">
        <v>3</v>
      </c>
      <c r="Q2" s="11" t="s">
        <v>2</v>
      </c>
      <c r="R2" s="10" t="s">
        <v>1</v>
      </c>
      <c r="S2" s="10" t="s">
        <v>3</v>
      </c>
      <c r="T2" s="11" t="s">
        <v>2</v>
      </c>
    </row>
    <row r="3" spans="1:20">
      <c r="A3" s="2" t="s">
        <v>15</v>
      </c>
      <c r="B3" s="4" t="s">
        <v>8</v>
      </c>
      <c r="C3" s="12">
        <v>0.84574187369285203</v>
      </c>
      <c r="D3" s="13">
        <v>0.827321911632101</v>
      </c>
      <c r="E3" s="14">
        <v>0.84170013386880804</v>
      </c>
      <c r="F3" s="12">
        <v>0.84574187369285203</v>
      </c>
      <c r="G3" s="13">
        <v>0.827321911632101</v>
      </c>
      <c r="H3" s="14">
        <v>0.84170013386880804</v>
      </c>
      <c r="I3" s="12">
        <v>0.84574187369285203</v>
      </c>
      <c r="J3" s="13">
        <v>0.827321911632101</v>
      </c>
      <c r="K3" s="14">
        <v>0.84170013386880804</v>
      </c>
      <c r="L3" s="12">
        <v>0.84574187369285203</v>
      </c>
      <c r="M3" s="13">
        <v>0.827321911632101</v>
      </c>
      <c r="N3" s="13">
        <v>0.84170013386880804</v>
      </c>
      <c r="O3" s="2">
        <v>0.84574187369285203</v>
      </c>
      <c r="P3" s="3">
        <v>0.827321911632101</v>
      </c>
      <c r="Q3" s="4">
        <v>0.84170013386880804</v>
      </c>
      <c r="R3" s="13">
        <v>0.84574187369285203</v>
      </c>
      <c r="S3" s="13">
        <v>0.827321911632101</v>
      </c>
      <c r="T3" s="14">
        <v>0.84170013386880804</v>
      </c>
    </row>
    <row r="4" spans="1:20">
      <c r="A4" s="12"/>
      <c r="B4" s="14" t="s">
        <v>9</v>
      </c>
      <c r="C4" s="12">
        <v>0.94142022243505796</v>
      </c>
      <c r="D4" s="13">
        <v>0.93462578899909798</v>
      </c>
      <c r="E4" s="14">
        <v>0.93540829986613105</v>
      </c>
      <c r="F4" s="12">
        <v>0.91462246633177602</v>
      </c>
      <c r="G4" s="13">
        <v>0.90667267808836705</v>
      </c>
      <c r="H4" s="13">
        <v>0.90361445783132499</v>
      </c>
      <c r="I4" s="15"/>
      <c r="J4" s="16"/>
      <c r="K4" s="16"/>
      <c r="L4" s="17">
        <f>(L3-I3)/I3</f>
        <v>0</v>
      </c>
      <c r="M4" s="18">
        <f t="shared" ref="M4:N4" si="0">(M3-J3)/J3</f>
        <v>0</v>
      </c>
      <c r="N4" s="19">
        <f t="shared" si="0"/>
        <v>0</v>
      </c>
      <c r="O4" s="20">
        <f>(R3-I3)/I3</f>
        <v>0</v>
      </c>
      <c r="P4" s="21">
        <f t="shared" ref="P4" si="1">(S3-J3)/J3</f>
        <v>0</v>
      </c>
      <c r="Q4" s="22">
        <f t="shared" ref="Q4" si="2">(T3-K3)/K3</f>
        <v>0</v>
      </c>
      <c r="R4" s="17">
        <f>(R3-O3)/O3</f>
        <v>0</v>
      </c>
      <c r="S4" s="18">
        <f t="shared" ref="S4" si="3">(S3-P3)/P3</f>
        <v>0</v>
      </c>
      <c r="T4" s="19">
        <f t="shared" ref="T4" si="4">(T3-Q3)/Q3</f>
        <v>0</v>
      </c>
    </row>
    <row r="5" spans="1:20">
      <c r="A5" s="12"/>
      <c r="B5" s="14" t="s">
        <v>10</v>
      </c>
      <c r="C5" s="12">
        <v>0.97898790094016896</v>
      </c>
      <c r="D5" s="13">
        <v>0.912082957619477</v>
      </c>
      <c r="E5" s="14">
        <v>0.92670682730923604</v>
      </c>
      <c r="F5" s="12">
        <v>0.97844060905768004</v>
      </c>
      <c r="G5" s="13">
        <v>0.91343552750225399</v>
      </c>
      <c r="H5" s="14">
        <v>0.925702811244979</v>
      </c>
      <c r="I5" s="12">
        <v>0.97865561658294398</v>
      </c>
      <c r="J5" s="13">
        <v>0.91118124436429204</v>
      </c>
      <c r="K5" s="14">
        <v>0.92369477911646503</v>
      </c>
      <c r="L5" s="12">
        <v>0.97842106291901998</v>
      </c>
      <c r="M5" s="13">
        <v>0.91298467087466095</v>
      </c>
      <c r="N5" s="13">
        <v>0.92536813922355998</v>
      </c>
      <c r="O5" s="12">
        <v>0.98123570688610395</v>
      </c>
      <c r="P5" s="13">
        <v>0.93778178539224499</v>
      </c>
      <c r="Q5" s="14">
        <v>0.94042838018741604</v>
      </c>
      <c r="R5" s="13">
        <v>0.980375676785051</v>
      </c>
      <c r="S5" s="13">
        <v>0.93146979260595097</v>
      </c>
      <c r="T5" s="14">
        <v>0.93808567603748305</v>
      </c>
    </row>
    <row r="6" spans="1:20">
      <c r="A6" s="12"/>
      <c r="B6" s="14" t="s">
        <v>11</v>
      </c>
      <c r="C6" s="12">
        <v>0.95367565137507004</v>
      </c>
      <c r="D6" s="13">
        <v>0.94048692515779897</v>
      </c>
      <c r="E6" s="14">
        <v>0.95180722891566205</v>
      </c>
      <c r="F6" s="12">
        <v>0.93715916420710998</v>
      </c>
      <c r="G6" s="13">
        <v>0.92019837691614004</v>
      </c>
      <c r="H6" s="13">
        <v>0.92704149933065505</v>
      </c>
      <c r="I6" s="15"/>
      <c r="J6" s="16"/>
      <c r="K6" s="23"/>
      <c r="L6" s="18">
        <f>(L5-I5)/I5</f>
        <v>-2.3966925642644431E-4</v>
      </c>
      <c r="M6" s="18">
        <f t="shared" ref="M6:N6" si="5">(M5-J5)/J5</f>
        <v>1.9792182088066521E-3</v>
      </c>
      <c r="N6" s="18">
        <f t="shared" si="5"/>
        <v>1.8115942028984547E-3</v>
      </c>
      <c r="O6" s="20">
        <f>(R5-I5)/I5</f>
        <v>1.7575745471249138E-3</v>
      </c>
      <c r="P6" s="21">
        <f t="shared" ref="P6" si="6">(S5-J5)/J5</f>
        <v>2.2266204849084374E-2</v>
      </c>
      <c r="Q6" s="22">
        <f t="shared" ref="Q6" si="7">(T5-K5)/K5</f>
        <v>1.5579710144928224E-2</v>
      </c>
      <c r="R6" s="18">
        <f>(R5-O5)/O5</f>
        <v>-8.7647656421127628E-4</v>
      </c>
      <c r="S6" s="18">
        <f t="shared" ref="S6" si="8">(S5-P5)/P5</f>
        <v>-6.7307692307692962E-3</v>
      </c>
      <c r="T6" s="18">
        <f t="shared" ref="T6" si="9">(T5-Q5)/Q5</f>
        <v>-2.4911032028468887E-3</v>
      </c>
    </row>
    <row r="7" spans="1:20">
      <c r="A7" s="12"/>
      <c r="B7" s="14" t="s">
        <v>12</v>
      </c>
      <c r="C7" s="12">
        <v>0.95332382087918499</v>
      </c>
      <c r="D7" s="13">
        <v>0.94048692515779897</v>
      </c>
      <c r="E7" s="14">
        <v>0.95147255689424304</v>
      </c>
      <c r="F7" s="12">
        <v>0.93715916420710998</v>
      </c>
      <c r="G7" s="13">
        <v>0.92019837691614004</v>
      </c>
      <c r="H7" s="14">
        <v>0.92704149933065505</v>
      </c>
      <c r="I7" s="12"/>
      <c r="J7" s="13"/>
      <c r="K7" s="14"/>
      <c r="L7" s="12"/>
      <c r="M7" s="13"/>
      <c r="N7" s="13"/>
      <c r="O7" s="12"/>
      <c r="P7" s="13"/>
      <c r="Q7" s="14"/>
      <c r="R7" s="13"/>
      <c r="S7" s="13"/>
      <c r="T7" s="14"/>
    </row>
    <row r="8" spans="1:20">
      <c r="A8" s="12"/>
      <c r="B8" s="14" t="s">
        <v>13</v>
      </c>
      <c r="C8" s="12">
        <v>0.95342155157248598</v>
      </c>
      <c r="D8" s="13">
        <v>0.94003606853020705</v>
      </c>
      <c r="E8" s="14">
        <v>0.95180722891566205</v>
      </c>
      <c r="F8" s="12">
        <v>0.93715916420710998</v>
      </c>
      <c r="G8" s="13">
        <v>0.92019837691614004</v>
      </c>
      <c r="H8" s="14">
        <v>0.92704149933065505</v>
      </c>
      <c r="I8" s="12"/>
      <c r="J8" s="13" t="s">
        <v>20</v>
      </c>
      <c r="K8" s="14" t="s">
        <v>21</v>
      </c>
      <c r="L8" s="24">
        <f>(O3-I3)/I3</f>
        <v>0</v>
      </c>
      <c r="M8" s="25">
        <f t="shared" ref="M8:N8" si="10">(P3-J3)/J3</f>
        <v>0</v>
      </c>
      <c r="N8" s="25">
        <f t="shared" si="10"/>
        <v>0</v>
      </c>
      <c r="O8" s="12"/>
      <c r="P8" s="13" t="s">
        <v>20</v>
      </c>
      <c r="Q8" s="14" t="s">
        <v>21</v>
      </c>
      <c r="R8" s="24">
        <f>(R3-L3)/L3</f>
        <v>0</v>
      </c>
      <c r="S8" s="25">
        <f t="shared" ref="S8" si="11">(S3-M3)/M3</f>
        <v>0</v>
      </c>
      <c r="T8" s="26">
        <f t="shared" ref="T8" si="12">(T3-N3)/N3</f>
        <v>0</v>
      </c>
    </row>
    <row r="9" spans="1:20">
      <c r="A9" s="12"/>
      <c r="B9" s="14" t="s">
        <v>14</v>
      </c>
      <c r="C9" s="12">
        <v>0.99194699087195304</v>
      </c>
      <c r="D9" s="13">
        <v>0.96798917944093699</v>
      </c>
      <c r="E9" s="14">
        <v>0.97188755020080297</v>
      </c>
      <c r="F9" s="12">
        <v>0.98559449580735303</v>
      </c>
      <c r="G9" s="13">
        <v>0.96122633002705105</v>
      </c>
      <c r="H9" s="14">
        <v>0.96586345381526095</v>
      </c>
      <c r="I9" s="12"/>
      <c r="J9" s="13"/>
      <c r="K9" s="14" t="s">
        <v>10</v>
      </c>
      <c r="L9" s="24">
        <f>(O5-I5)/I5</f>
        <v>2.6363618206868035E-3</v>
      </c>
      <c r="M9" s="25">
        <f t="shared" ref="M9:N9" si="13">(P5-J5)/J5</f>
        <v>2.9193468579910762E-2</v>
      </c>
      <c r="N9" s="25">
        <f t="shared" si="13"/>
        <v>1.8115942028986108E-2</v>
      </c>
      <c r="O9" s="12"/>
      <c r="P9" s="13"/>
      <c r="Q9" s="14" t="s">
        <v>10</v>
      </c>
      <c r="R9" s="27">
        <f>(R5-L5)/L5</f>
        <v>1.9977225962405456E-3</v>
      </c>
      <c r="S9" s="28">
        <f t="shared" ref="S9" si="14">(S5-M5)/M5</f>
        <v>2.024691358024756E-2</v>
      </c>
      <c r="T9" s="29">
        <f t="shared" ref="T9" si="15">(T5-N5)/N5</f>
        <v>1.3743218806510729E-2</v>
      </c>
    </row>
    <row r="10" spans="1:20">
      <c r="A10" s="6"/>
      <c r="B10" s="8"/>
      <c r="C10" s="12"/>
      <c r="D10" s="13"/>
      <c r="E10" s="14"/>
      <c r="F10" s="12"/>
      <c r="G10" s="13"/>
      <c r="H10" s="14"/>
      <c r="I10" s="6"/>
      <c r="J10" s="7"/>
      <c r="K10" s="8"/>
      <c r="L10" s="12"/>
      <c r="M10" s="13"/>
      <c r="N10" s="13"/>
      <c r="O10" s="6"/>
      <c r="P10" s="7"/>
      <c r="Q10" s="8"/>
      <c r="R10" s="13"/>
      <c r="S10" s="13"/>
      <c r="T10" s="14"/>
    </row>
    <row r="11" spans="1:20">
      <c r="A11" s="2"/>
      <c r="B11" s="4"/>
      <c r="C11" s="2" t="s">
        <v>0</v>
      </c>
      <c r="D11" s="3"/>
      <c r="E11" s="4"/>
      <c r="F11" s="2" t="s">
        <v>4</v>
      </c>
      <c r="G11" s="3"/>
      <c r="H11" s="4"/>
      <c r="I11" s="2" t="s">
        <v>19</v>
      </c>
      <c r="J11" s="3"/>
      <c r="K11" s="4"/>
      <c r="L11" s="2" t="s">
        <v>5</v>
      </c>
      <c r="M11" s="3"/>
      <c r="N11" s="3"/>
      <c r="O11" s="2" t="s">
        <v>6</v>
      </c>
      <c r="P11" s="3"/>
      <c r="Q11" s="4"/>
      <c r="R11" s="3" t="s">
        <v>7</v>
      </c>
      <c r="S11" s="3"/>
      <c r="T11" s="4"/>
    </row>
    <row r="12" spans="1:20">
      <c r="A12" s="12"/>
      <c r="B12" s="14"/>
      <c r="C12" s="6" t="s">
        <v>1</v>
      </c>
      <c r="D12" s="7" t="s">
        <v>3</v>
      </c>
      <c r="E12" s="8" t="s">
        <v>2</v>
      </c>
      <c r="F12" s="6" t="s">
        <v>1</v>
      </c>
      <c r="G12" s="7" t="s">
        <v>3</v>
      </c>
      <c r="H12" s="8" t="s">
        <v>2</v>
      </c>
      <c r="I12" s="9" t="s">
        <v>1</v>
      </c>
      <c r="J12" s="10" t="s">
        <v>3</v>
      </c>
      <c r="K12" s="11" t="s">
        <v>2</v>
      </c>
      <c r="L12" s="9" t="s">
        <v>1</v>
      </c>
      <c r="M12" s="10" t="s">
        <v>3</v>
      </c>
      <c r="N12" s="10" t="s">
        <v>2</v>
      </c>
      <c r="O12" s="9" t="s">
        <v>1</v>
      </c>
      <c r="P12" s="10" t="s">
        <v>3</v>
      </c>
      <c r="Q12" s="11" t="s">
        <v>2</v>
      </c>
      <c r="R12" s="10" t="s">
        <v>1</v>
      </c>
      <c r="S12" s="10" t="s">
        <v>3</v>
      </c>
      <c r="T12" s="11" t="s">
        <v>2</v>
      </c>
    </row>
    <row r="13" spans="1:20">
      <c r="A13" s="12" t="s">
        <v>16</v>
      </c>
      <c r="B13" s="14" t="s">
        <v>8</v>
      </c>
      <c r="C13" s="12">
        <v>0.78683219365671897</v>
      </c>
      <c r="D13" s="13">
        <v>0.76606332885284301</v>
      </c>
      <c r="E13" s="14">
        <v>0.7890276223878</v>
      </c>
      <c r="F13" s="12">
        <v>0.78683219365671897</v>
      </c>
      <c r="G13" s="13">
        <v>0.76606332885284301</v>
      </c>
      <c r="H13" s="14">
        <v>0.7890276223878</v>
      </c>
      <c r="I13" s="12">
        <v>0.78683219365671897</v>
      </c>
      <c r="J13" s="13">
        <v>0.76606332885284301</v>
      </c>
      <c r="K13" s="14">
        <v>0.7890276223878</v>
      </c>
      <c r="L13" s="12">
        <v>0.78683219365671897</v>
      </c>
      <c r="M13" s="13">
        <v>0.76606332885284301</v>
      </c>
      <c r="N13" s="13">
        <v>0.7890276223878</v>
      </c>
      <c r="O13" s="12">
        <v>0.78683219365671897</v>
      </c>
      <c r="P13" s="13">
        <v>0.76606332885284301</v>
      </c>
      <c r="Q13" s="14">
        <v>0.7890276223878</v>
      </c>
      <c r="R13" s="13">
        <v>0.78683219365671897</v>
      </c>
      <c r="S13" s="13">
        <v>0.76606332885284301</v>
      </c>
      <c r="T13" s="14">
        <v>0.7890276223878</v>
      </c>
    </row>
    <row r="14" spans="1:20">
      <c r="A14" s="12"/>
      <c r="B14" s="14" t="s">
        <v>9</v>
      </c>
      <c r="C14" s="12">
        <v>0.92774998492666105</v>
      </c>
      <c r="D14" s="13">
        <v>0.92170601571722299</v>
      </c>
      <c r="E14" s="14">
        <v>0.92276342894888697</v>
      </c>
      <c r="F14" s="12">
        <v>0.89716987567566397</v>
      </c>
      <c r="G14" s="13">
        <v>0.89151812390617502</v>
      </c>
      <c r="H14" s="13">
        <v>0.88792402405765902</v>
      </c>
      <c r="I14" s="15"/>
      <c r="J14" s="16"/>
      <c r="K14" s="23"/>
      <c r="L14" s="17">
        <f>(L13-I13)/I13</f>
        <v>0</v>
      </c>
      <c r="M14" s="18">
        <f t="shared" ref="M14" si="16">(M13-J13)/J13</f>
        <v>0</v>
      </c>
      <c r="N14" s="19">
        <f t="shared" ref="N14" si="17">(N13-K13)/K13</f>
        <v>0</v>
      </c>
      <c r="O14" s="20">
        <f>(R13-I13)/I13</f>
        <v>0</v>
      </c>
      <c r="P14" s="21">
        <f t="shared" ref="P14" si="18">(S13-J13)/J13</f>
        <v>0</v>
      </c>
      <c r="Q14" s="22">
        <f t="shared" ref="Q14" si="19">(T13-K13)/K13</f>
        <v>0</v>
      </c>
      <c r="R14" s="17">
        <f>(R13-O13)/O13</f>
        <v>0</v>
      </c>
      <c r="S14" s="18">
        <f t="shared" ref="S14" si="20">(S13-P13)/P13</f>
        <v>0</v>
      </c>
      <c r="T14" s="19">
        <f t="shared" ref="T14" si="21">(T13-Q13)/Q13</f>
        <v>0</v>
      </c>
    </row>
    <row r="15" spans="1:20">
      <c r="A15" s="12"/>
      <c r="B15" s="14" t="s">
        <v>10</v>
      </c>
      <c r="C15" s="12">
        <v>0.97403100402555798</v>
      </c>
      <c r="D15" s="13">
        <v>0.89015460033326099</v>
      </c>
      <c r="E15" s="14">
        <v>0.91076309410573397</v>
      </c>
      <c r="F15" s="12">
        <v>0.973342216744297</v>
      </c>
      <c r="G15" s="13">
        <v>0.89200736424082805</v>
      </c>
      <c r="H15" s="14">
        <v>0.90957180832935702</v>
      </c>
      <c r="I15" s="12">
        <v>0.97361531809072999</v>
      </c>
      <c r="J15" s="13">
        <v>0.88880363629052905</v>
      </c>
      <c r="K15" s="14">
        <v>0.90719161958568695</v>
      </c>
      <c r="L15" s="12">
        <v>0.97331974017328005</v>
      </c>
      <c r="M15" s="13">
        <v>0.89160759922203903</v>
      </c>
      <c r="N15" s="13">
        <v>0.90894455328888502</v>
      </c>
      <c r="O15" s="12">
        <v>0.97687574941793498</v>
      </c>
      <c r="P15" s="13">
        <v>0.92444049470487999</v>
      </c>
      <c r="Q15" s="14">
        <v>0.92937689715337302</v>
      </c>
      <c r="R15" s="13">
        <v>0.97580474751318302</v>
      </c>
      <c r="S15" s="13">
        <v>0.91662124316297899</v>
      </c>
      <c r="T15" s="14">
        <v>0.92634407276850605</v>
      </c>
    </row>
    <row r="16" spans="1:20">
      <c r="A16" s="12"/>
      <c r="B16" s="14" t="s">
        <v>11</v>
      </c>
      <c r="C16" s="12">
        <v>0.94208303766211299</v>
      </c>
      <c r="D16" s="13">
        <v>0.92779207147197795</v>
      </c>
      <c r="E16" s="14">
        <v>0.94178074036227899</v>
      </c>
      <c r="F16" s="12">
        <v>0.92054268243566895</v>
      </c>
      <c r="G16" s="13">
        <v>0.90184964759866804</v>
      </c>
      <c r="H16" s="13">
        <v>0.91064377569363197</v>
      </c>
      <c r="I16" s="15"/>
      <c r="J16" s="16"/>
      <c r="K16" s="23"/>
      <c r="L16" s="18">
        <f>(L15-I15)/I15</f>
        <v>-3.0358798999749931E-4</v>
      </c>
      <c r="M16" s="18">
        <f t="shared" ref="M16" si="22">(M15-J15)/J15</f>
        <v>3.1547608684551146E-3</v>
      </c>
      <c r="N16" s="18">
        <f t="shared" ref="N16" si="23">(N15-K15)/K15</f>
        <v>1.9322639951178447E-3</v>
      </c>
      <c r="O16" s="20">
        <f>(R15-I15)/I15</f>
        <v>2.2487623004396971E-3</v>
      </c>
      <c r="P16" s="21">
        <f t="shared" ref="P16" si="24">(S15-J15)/J15</f>
        <v>3.1297809478534826E-2</v>
      </c>
      <c r="Q16" s="22">
        <f t="shared" ref="Q16" si="25">(T15-K15)/K15</f>
        <v>2.1111805675151633E-2</v>
      </c>
      <c r="R16" s="18">
        <f>(R15-O15)/O15</f>
        <v>-1.0963542757511438E-3</v>
      </c>
      <c r="S16" s="18">
        <f t="shared" ref="S16" si="26">(S15-P15)/P15</f>
        <v>-8.4583611240410094E-3</v>
      </c>
      <c r="T16" s="18">
        <f t="shared" ref="T16" si="27">(T15-Q15)/Q15</f>
        <v>-3.2632879019871535E-3</v>
      </c>
    </row>
    <row r="17" spans="1:20">
      <c r="A17" s="12"/>
      <c r="B17" s="14" t="s">
        <v>12</v>
      </c>
      <c r="C17" s="12">
        <v>0.94165081627851199</v>
      </c>
      <c r="D17" s="13">
        <v>0.92772569058727605</v>
      </c>
      <c r="E17" s="14">
        <v>0.94139609737451102</v>
      </c>
      <c r="F17" s="12">
        <v>0.92054268243566895</v>
      </c>
      <c r="G17" s="13">
        <v>0.90184964759866804</v>
      </c>
      <c r="H17" s="14">
        <v>0.91064377569363197</v>
      </c>
      <c r="I17" s="12"/>
      <c r="J17" s="13"/>
      <c r="K17" s="14"/>
      <c r="L17" s="12"/>
      <c r="M17" s="13"/>
      <c r="N17" s="13"/>
      <c r="O17" s="12"/>
      <c r="P17" s="13"/>
      <c r="Q17" s="14"/>
      <c r="R17" s="13"/>
      <c r="S17" s="13"/>
      <c r="T17" s="14"/>
    </row>
    <row r="18" spans="1:20">
      <c r="A18" s="12"/>
      <c r="B18" s="14" t="s">
        <v>13</v>
      </c>
      <c r="C18" s="12">
        <v>0.94176152905377397</v>
      </c>
      <c r="D18" s="13">
        <v>0.92721163315002597</v>
      </c>
      <c r="E18" s="14">
        <v>0.94178074036227899</v>
      </c>
      <c r="F18" s="12">
        <v>0.92054268243566895</v>
      </c>
      <c r="G18" s="13">
        <v>0.90184964759866804</v>
      </c>
      <c r="H18" s="14">
        <v>0.91064377569363197</v>
      </c>
      <c r="I18" s="12"/>
      <c r="J18" s="13" t="s">
        <v>20</v>
      </c>
      <c r="K18" s="14" t="s">
        <v>21</v>
      </c>
      <c r="L18" s="24">
        <f>(O13-I13)/I13</f>
        <v>0</v>
      </c>
      <c r="M18" s="25">
        <f t="shared" ref="M18" si="28">(P13-J13)/J13</f>
        <v>0</v>
      </c>
      <c r="N18" s="25">
        <f t="shared" ref="N18" si="29">(Q13-K13)/K13</f>
        <v>0</v>
      </c>
      <c r="O18" s="12"/>
      <c r="P18" s="13" t="s">
        <v>20</v>
      </c>
      <c r="Q18" s="14" t="s">
        <v>21</v>
      </c>
      <c r="R18" s="24">
        <f>(R13-L13)/L13</f>
        <v>0</v>
      </c>
      <c r="S18" s="25">
        <f t="shared" ref="S18" si="30">(S13-M13)/M13</f>
        <v>0</v>
      </c>
      <c r="T18" s="26">
        <f t="shared" ref="T18" si="31">(T13-N13)/N13</f>
        <v>0</v>
      </c>
    </row>
    <row r="19" spans="1:20">
      <c r="A19" s="12"/>
      <c r="B19" s="14" t="s">
        <v>14</v>
      </c>
      <c r="C19" s="12">
        <v>0.99014982567980203</v>
      </c>
      <c r="D19" s="13">
        <v>0.96202497152680699</v>
      </c>
      <c r="E19" s="14">
        <v>0.96671396705240698</v>
      </c>
      <c r="F19" s="12">
        <v>0.98231985649579701</v>
      </c>
      <c r="G19" s="13">
        <v>0.95386462493421198</v>
      </c>
      <c r="H19" s="14">
        <v>0.95953058151485404</v>
      </c>
      <c r="I19" s="12"/>
      <c r="J19" s="13"/>
      <c r="K19" s="14" t="s">
        <v>10</v>
      </c>
      <c r="L19" s="24">
        <f>(O15-I15)/I15</f>
        <v>3.3487880342707981E-3</v>
      </c>
      <c r="M19" s="25">
        <f t="shared" ref="M19" si="32">(P15-J15)/J15</f>
        <v>4.0095311224291712E-2</v>
      </c>
      <c r="N19" s="25">
        <f t="shared" ref="N19" si="33">(Q15-K15)/K15</f>
        <v>2.4454896946488607E-2</v>
      </c>
      <c r="O19" s="12"/>
      <c r="P19" s="13"/>
      <c r="Q19" s="14" t="s">
        <v>10</v>
      </c>
      <c r="R19" s="27">
        <f>(R15-L15)/L15</f>
        <v>2.5531253886421461E-3</v>
      </c>
      <c r="S19" s="28">
        <f t="shared" ref="S19" si="34">(S15-M15)/M15</f>
        <v>2.8054543234899868E-2</v>
      </c>
      <c r="T19" s="29">
        <f t="shared" ref="T19" si="35">(T15-N15)/N15</f>
        <v>1.9142553213684358E-2</v>
      </c>
    </row>
    <row r="20" spans="1:20">
      <c r="A20" s="6"/>
      <c r="B20" s="8"/>
      <c r="C20" s="12"/>
      <c r="D20" s="13"/>
      <c r="E20" s="14"/>
      <c r="F20" s="12"/>
      <c r="G20" s="13"/>
      <c r="H20" s="14"/>
      <c r="I20" s="12"/>
      <c r="J20" s="13"/>
      <c r="K20" s="14"/>
      <c r="L20" s="12"/>
      <c r="M20" s="13"/>
      <c r="N20" s="13"/>
      <c r="O20" s="12"/>
      <c r="P20" s="13"/>
      <c r="Q20" s="14"/>
      <c r="R20" s="13"/>
      <c r="S20" s="13"/>
      <c r="T20" s="14"/>
    </row>
    <row r="21" spans="1:20">
      <c r="A21" s="2"/>
      <c r="B21" s="4"/>
      <c r="C21" s="2" t="s">
        <v>0</v>
      </c>
      <c r="D21" s="3"/>
      <c r="E21" s="4"/>
      <c r="F21" s="2" t="s">
        <v>4</v>
      </c>
      <c r="G21" s="3"/>
      <c r="H21" s="4"/>
      <c r="I21" s="2" t="s">
        <v>19</v>
      </c>
      <c r="J21" s="3"/>
      <c r="K21" s="4"/>
      <c r="L21" s="2" t="s">
        <v>5</v>
      </c>
      <c r="M21" s="3"/>
      <c r="N21" s="3"/>
      <c r="O21" s="2" t="s">
        <v>6</v>
      </c>
      <c r="P21" s="3"/>
      <c r="Q21" s="4"/>
      <c r="R21" s="3" t="s">
        <v>7</v>
      </c>
      <c r="S21" s="3"/>
      <c r="T21" s="4"/>
    </row>
    <row r="22" spans="1:20">
      <c r="A22" s="12"/>
      <c r="B22" s="14"/>
      <c r="C22" s="6" t="s">
        <v>1</v>
      </c>
      <c r="D22" s="7" t="s">
        <v>3</v>
      </c>
      <c r="E22" s="8" t="s">
        <v>2</v>
      </c>
      <c r="F22" s="6" t="s">
        <v>1</v>
      </c>
      <c r="G22" s="7" t="s">
        <v>3</v>
      </c>
      <c r="H22" s="8" t="s">
        <v>2</v>
      </c>
      <c r="I22" s="9" t="s">
        <v>1</v>
      </c>
      <c r="J22" s="10" t="s">
        <v>3</v>
      </c>
      <c r="K22" s="11" t="s">
        <v>2</v>
      </c>
      <c r="L22" s="9" t="s">
        <v>1</v>
      </c>
      <c r="M22" s="10" t="s">
        <v>3</v>
      </c>
      <c r="N22" s="10" t="s">
        <v>2</v>
      </c>
      <c r="O22" s="9" t="s">
        <v>1</v>
      </c>
      <c r="P22" s="10" t="s">
        <v>3</v>
      </c>
      <c r="Q22" s="11" t="s">
        <v>2</v>
      </c>
      <c r="R22" s="10" t="s">
        <v>1</v>
      </c>
      <c r="S22" s="10" t="s">
        <v>3</v>
      </c>
      <c r="T22" s="11" t="s">
        <v>2</v>
      </c>
    </row>
    <row r="23" spans="1:20">
      <c r="A23" s="12" t="s">
        <v>17</v>
      </c>
      <c r="B23" s="14" t="s">
        <v>8</v>
      </c>
      <c r="C23" s="12">
        <v>0.84574187369285203</v>
      </c>
      <c r="D23" s="13">
        <v>0.827321911632101</v>
      </c>
      <c r="E23" s="14">
        <v>0.84170013386880804</v>
      </c>
      <c r="F23" s="12">
        <v>0.84574187369285203</v>
      </c>
      <c r="G23" s="13">
        <v>0.827321911632101</v>
      </c>
      <c r="H23" s="14">
        <v>0.84170013386880804</v>
      </c>
      <c r="I23" s="12">
        <v>0.84574187369285203</v>
      </c>
      <c r="J23" s="13">
        <v>0.827321911632101</v>
      </c>
      <c r="K23" s="14">
        <v>0.84170013386880804</v>
      </c>
      <c r="L23" s="12">
        <v>0.84574187369285203</v>
      </c>
      <c r="M23" s="13">
        <v>0.827321911632101</v>
      </c>
      <c r="N23" s="13">
        <v>0.84170013386880804</v>
      </c>
      <c r="O23" s="12">
        <v>0.84574187369285203</v>
      </c>
      <c r="P23" s="13">
        <v>0.827321911632101</v>
      </c>
      <c r="Q23" s="14">
        <v>0.84170013386880804</v>
      </c>
      <c r="R23" s="13">
        <v>0.84574187369285203</v>
      </c>
      <c r="S23" s="13">
        <v>0.827321911632101</v>
      </c>
      <c r="T23" s="14">
        <v>0.84170013386880804</v>
      </c>
    </row>
    <row r="24" spans="1:20">
      <c r="A24" s="12"/>
      <c r="B24" s="14" t="s">
        <v>9</v>
      </c>
      <c r="C24" s="12">
        <v>0.94142022243505796</v>
      </c>
      <c r="D24" s="13">
        <v>0.93462578899909798</v>
      </c>
      <c r="E24" s="14">
        <v>0.93540829986613105</v>
      </c>
      <c r="F24" s="12">
        <v>0.91462246633177602</v>
      </c>
      <c r="G24" s="13">
        <v>0.90667267808836705</v>
      </c>
      <c r="H24" s="13">
        <v>0.90361445783132499</v>
      </c>
      <c r="I24" s="15"/>
      <c r="J24" s="16"/>
      <c r="K24" s="23"/>
      <c r="L24" s="17">
        <f>(L23-I23)/I23</f>
        <v>0</v>
      </c>
      <c r="M24" s="18">
        <f t="shared" ref="M24" si="36">(M23-J23)/J23</f>
        <v>0</v>
      </c>
      <c r="N24" s="19">
        <f t="shared" ref="N24" si="37">(N23-K23)/K23</f>
        <v>0</v>
      </c>
      <c r="O24" s="20">
        <f>(R23-I23)/I23</f>
        <v>0</v>
      </c>
      <c r="P24" s="21">
        <f t="shared" ref="P24" si="38">(S23-J23)/J23</f>
        <v>0</v>
      </c>
      <c r="Q24" s="22">
        <f t="shared" ref="Q24" si="39">(T23-K23)/K23</f>
        <v>0</v>
      </c>
      <c r="R24" s="17">
        <f>(R23-O23)/O23</f>
        <v>0</v>
      </c>
      <c r="S24" s="18">
        <f t="shared" ref="S24" si="40">(S23-P23)/P23</f>
        <v>0</v>
      </c>
      <c r="T24" s="19">
        <f t="shared" ref="T24" si="41">(T23-Q23)/Q23</f>
        <v>0</v>
      </c>
    </row>
    <row r="25" spans="1:20">
      <c r="A25" s="12"/>
      <c r="B25" s="14" t="s">
        <v>10</v>
      </c>
      <c r="C25" s="12">
        <v>0.97898790094016896</v>
      </c>
      <c r="D25" s="13">
        <v>0.912082957619477</v>
      </c>
      <c r="E25" s="14">
        <v>0.92670682730923604</v>
      </c>
      <c r="F25" s="12">
        <v>0.97844060905768004</v>
      </c>
      <c r="G25" s="13">
        <v>0.91343552750225399</v>
      </c>
      <c r="H25" s="14">
        <v>0.925702811244979</v>
      </c>
      <c r="I25" s="12">
        <v>0.97865561658294398</v>
      </c>
      <c r="J25" s="13">
        <v>0.91118124436429204</v>
      </c>
      <c r="K25" s="14">
        <v>0.92369477911646503</v>
      </c>
      <c r="L25" s="12">
        <v>0.97842106291901998</v>
      </c>
      <c r="M25" s="13">
        <v>0.91298467087466095</v>
      </c>
      <c r="N25" s="13">
        <v>0.92536813922355998</v>
      </c>
      <c r="O25" s="12">
        <v>0.98123570688610395</v>
      </c>
      <c r="P25" s="13">
        <v>0.93778178539224499</v>
      </c>
      <c r="Q25" s="14">
        <v>0.94042838018741604</v>
      </c>
      <c r="R25" s="13">
        <v>0.980375676785051</v>
      </c>
      <c r="S25" s="13">
        <v>0.93146979260595097</v>
      </c>
      <c r="T25" s="14">
        <v>0.93808567603748305</v>
      </c>
    </row>
    <row r="26" spans="1:20">
      <c r="A26" s="12"/>
      <c r="B26" s="14" t="s">
        <v>11</v>
      </c>
      <c r="C26" s="12">
        <v>0.95367565137507004</v>
      </c>
      <c r="D26" s="13">
        <v>0.94048692515779897</v>
      </c>
      <c r="E26" s="14">
        <v>0.95180722891566205</v>
      </c>
      <c r="F26" s="12">
        <v>0.93715916420710998</v>
      </c>
      <c r="G26" s="13">
        <v>0.92019837691614004</v>
      </c>
      <c r="H26" s="13">
        <v>0.92704149933065505</v>
      </c>
      <c r="I26" s="15"/>
      <c r="J26" s="16"/>
      <c r="K26" s="23"/>
      <c r="L26" s="18">
        <f>(L25-I25)/I25</f>
        <v>-2.3966925642644431E-4</v>
      </c>
      <c r="M26" s="18">
        <f t="shared" ref="M26" si="42">(M25-J25)/J25</f>
        <v>1.9792182088066521E-3</v>
      </c>
      <c r="N26" s="18">
        <f t="shared" ref="N26" si="43">(N25-K25)/K25</f>
        <v>1.8115942028984547E-3</v>
      </c>
      <c r="O26" s="20">
        <f>(R25-I25)/I25</f>
        <v>1.7575745471249138E-3</v>
      </c>
      <c r="P26" s="21">
        <f t="shared" ref="P26" si="44">(S25-J25)/J25</f>
        <v>2.2266204849084374E-2</v>
      </c>
      <c r="Q26" s="22">
        <f t="shared" ref="Q26" si="45">(T25-K25)/K25</f>
        <v>1.5579710144928224E-2</v>
      </c>
      <c r="R26" s="18">
        <f>(R25-O25)/O25</f>
        <v>-8.7647656421127628E-4</v>
      </c>
      <c r="S26" s="18">
        <f t="shared" ref="S26" si="46">(S25-P25)/P25</f>
        <v>-6.7307692307692962E-3</v>
      </c>
      <c r="T26" s="18">
        <f t="shared" ref="T26" si="47">(T25-Q25)/Q25</f>
        <v>-2.4911032028468887E-3</v>
      </c>
    </row>
    <row r="27" spans="1:20">
      <c r="A27" s="12"/>
      <c r="B27" s="14" t="s">
        <v>12</v>
      </c>
      <c r="C27" s="12">
        <v>0.95332382087918499</v>
      </c>
      <c r="D27" s="13">
        <v>0.94048692515779897</v>
      </c>
      <c r="E27" s="14">
        <v>0.95147255689424304</v>
      </c>
      <c r="F27" s="12">
        <v>0.93715916420710998</v>
      </c>
      <c r="G27" s="13">
        <v>0.92019837691614004</v>
      </c>
      <c r="H27" s="14">
        <v>0.92704149933065505</v>
      </c>
      <c r="I27" s="12"/>
      <c r="J27" s="13"/>
      <c r="K27" s="14"/>
      <c r="L27" s="12"/>
      <c r="M27" s="13"/>
      <c r="N27" s="13"/>
      <c r="O27" s="12"/>
      <c r="P27" s="13"/>
      <c r="Q27" s="14"/>
      <c r="R27" s="13"/>
      <c r="S27" s="13"/>
      <c r="T27" s="14"/>
    </row>
    <row r="28" spans="1:20">
      <c r="A28" s="12"/>
      <c r="B28" s="14" t="s">
        <v>13</v>
      </c>
      <c r="C28" s="12">
        <v>0.95342155157248598</v>
      </c>
      <c r="D28" s="13">
        <v>0.94003606853020705</v>
      </c>
      <c r="E28" s="14">
        <v>0.95180722891566205</v>
      </c>
      <c r="F28" s="12">
        <v>0.93715916420710998</v>
      </c>
      <c r="G28" s="13">
        <v>0.92019837691614004</v>
      </c>
      <c r="H28" s="14">
        <v>0.92704149933065505</v>
      </c>
      <c r="I28" s="12"/>
      <c r="J28" s="13" t="s">
        <v>20</v>
      </c>
      <c r="K28" s="14" t="s">
        <v>21</v>
      </c>
      <c r="L28" s="24">
        <f>(O23-I23)/I23</f>
        <v>0</v>
      </c>
      <c r="M28" s="25">
        <f t="shared" ref="M28" si="48">(P23-J23)/J23</f>
        <v>0</v>
      </c>
      <c r="N28" s="25">
        <f t="shared" ref="N28" si="49">(Q23-K23)/K23</f>
        <v>0</v>
      </c>
      <c r="O28" s="12"/>
      <c r="P28" s="13" t="s">
        <v>20</v>
      </c>
      <c r="Q28" s="14" t="s">
        <v>21</v>
      </c>
      <c r="R28" s="24">
        <f>(R23-L23)/L23</f>
        <v>0</v>
      </c>
      <c r="S28" s="25">
        <f t="shared" ref="S28" si="50">(S23-M23)/M23</f>
        <v>0</v>
      </c>
      <c r="T28" s="26">
        <f t="shared" ref="T28" si="51">(T23-N23)/N23</f>
        <v>0</v>
      </c>
    </row>
    <row r="29" spans="1:20">
      <c r="A29" s="12"/>
      <c r="B29" s="14" t="s">
        <v>14</v>
      </c>
      <c r="C29" s="12">
        <v>0.99194699087195304</v>
      </c>
      <c r="D29" s="13">
        <v>0.96798917944093699</v>
      </c>
      <c r="E29" s="14">
        <v>0.97188755020080297</v>
      </c>
      <c r="F29" s="12">
        <v>0.98559449580735303</v>
      </c>
      <c r="G29" s="13">
        <v>0.96122633002705105</v>
      </c>
      <c r="H29" s="14">
        <v>0.96586345381526095</v>
      </c>
      <c r="I29" s="12"/>
      <c r="J29" s="13"/>
      <c r="K29" s="14" t="s">
        <v>10</v>
      </c>
      <c r="L29" s="24">
        <f>(O25-I25)/I25</f>
        <v>2.6363618206868035E-3</v>
      </c>
      <c r="M29" s="25">
        <f t="shared" ref="M29" si="52">(P25-J25)/J25</f>
        <v>2.9193468579910762E-2</v>
      </c>
      <c r="N29" s="25">
        <f t="shared" ref="N29" si="53">(Q25-K25)/K25</f>
        <v>1.8115942028986108E-2</v>
      </c>
      <c r="O29" s="12"/>
      <c r="P29" s="13"/>
      <c r="Q29" s="14" t="s">
        <v>10</v>
      </c>
      <c r="R29" s="27">
        <f>(R25-L25)/L25</f>
        <v>1.9977225962405456E-3</v>
      </c>
      <c r="S29" s="28">
        <f t="shared" ref="S29" si="54">(S25-M25)/M25</f>
        <v>2.024691358024756E-2</v>
      </c>
      <c r="T29" s="29">
        <f t="shared" ref="T29" si="55">(T25-N25)/N25</f>
        <v>1.3743218806510729E-2</v>
      </c>
    </row>
    <row r="30" spans="1:20">
      <c r="A30" s="6"/>
      <c r="B30" s="8"/>
      <c r="C30" s="12"/>
      <c r="D30" s="13"/>
      <c r="E30" s="14"/>
      <c r="F30" s="12"/>
      <c r="G30" s="13"/>
      <c r="H30" s="14"/>
      <c r="I30" s="12"/>
      <c r="J30" s="13"/>
      <c r="K30" s="14"/>
      <c r="L30" s="12"/>
      <c r="M30" s="13"/>
      <c r="N30" s="13"/>
      <c r="O30" s="6"/>
      <c r="P30" s="7"/>
      <c r="Q30" s="8"/>
      <c r="R30" s="13"/>
      <c r="S30" s="13"/>
      <c r="T30" s="14"/>
    </row>
    <row r="31" spans="1:20">
      <c r="A31" s="2"/>
      <c r="B31" s="4"/>
      <c r="C31" s="2" t="s">
        <v>0</v>
      </c>
      <c r="D31" s="3"/>
      <c r="E31" s="4"/>
      <c r="F31" s="2" t="s">
        <v>4</v>
      </c>
      <c r="G31" s="3"/>
      <c r="H31" s="4"/>
      <c r="I31" s="2" t="s">
        <v>19</v>
      </c>
      <c r="J31" s="3"/>
      <c r="K31" s="4"/>
      <c r="L31" s="2" t="s">
        <v>5</v>
      </c>
      <c r="M31" s="3"/>
      <c r="N31" s="3"/>
      <c r="O31" s="2" t="s">
        <v>6</v>
      </c>
      <c r="P31" s="3"/>
      <c r="Q31" s="4"/>
      <c r="R31" s="3" t="s">
        <v>7</v>
      </c>
      <c r="S31" s="3"/>
      <c r="T31" s="4"/>
    </row>
    <row r="32" spans="1:20">
      <c r="A32" s="12"/>
      <c r="B32" s="14"/>
      <c r="C32" s="6" t="s">
        <v>1</v>
      </c>
      <c r="D32" s="7" t="s">
        <v>3</v>
      </c>
      <c r="E32" s="8" t="s">
        <v>2</v>
      </c>
      <c r="F32" s="6" t="s">
        <v>1</v>
      </c>
      <c r="G32" s="7" t="s">
        <v>3</v>
      </c>
      <c r="H32" s="8" t="s">
        <v>2</v>
      </c>
      <c r="I32" s="9" t="s">
        <v>1</v>
      </c>
      <c r="J32" s="10" t="s">
        <v>3</v>
      </c>
      <c r="K32" s="11" t="s">
        <v>2</v>
      </c>
      <c r="L32" s="9" t="s">
        <v>1</v>
      </c>
      <c r="M32" s="10" t="s">
        <v>3</v>
      </c>
      <c r="N32" s="10" t="s">
        <v>2</v>
      </c>
      <c r="O32" s="9" t="s">
        <v>1</v>
      </c>
      <c r="P32" s="10" t="s">
        <v>3</v>
      </c>
      <c r="Q32" s="11" t="s">
        <v>2</v>
      </c>
      <c r="R32" s="10" t="s">
        <v>1</v>
      </c>
      <c r="S32" s="10" t="s">
        <v>3</v>
      </c>
      <c r="T32" s="11" t="s">
        <v>2</v>
      </c>
    </row>
    <row r="33" spans="1:20">
      <c r="A33" s="12" t="s">
        <v>18</v>
      </c>
      <c r="B33" s="14" t="s">
        <v>8</v>
      </c>
      <c r="C33" s="12">
        <v>0.83440019965577805</v>
      </c>
      <c r="D33" s="13">
        <v>0.81237157909478397</v>
      </c>
      <c r="E33" s="14">
        <v>0.82931697812210103</v>
      </c>
      <c r="F33" s="12">
        <v>0.83440019965577805</v>
      </c>
      <c r="G33" s="13">
        <v>0.81237157909478397</v>
      </c>
      <c r="H33" s="14">
        <v>0.82931697812210103</v>
      </c>
      <c r="I33" s="12">
        <v>0.83440019965577805</v>
      </c>
      <c r="J33" s="13">
        <v>0.81237157909478397</v>
      </c>
      <c r="K33" s="14">
        <v>0.82931697812210103</v>
      </c>
      <c r="L33" s="2">
        <v>0.83440019965577805</v>
      </c>
      <c r="M33" s="3">
        <v>0.81237157909478397</v>
      </c>
      <c r="N33" s="3">
        <v>0.82931697812210103</v>
      </c>
      <c r="O33" s="12">
        <v>0.83440019965577805</v>
      </c>
      <c r="P33" s="13">
        <v>0.81237157909478397</v>
      </c>
      <c r="Q33" s="14">
        <v>0.82931697812210103</v>
      </c>
      <c r="R33" s="13">
        <v>0.83440019965577805</v>
      </c>
      <c r="S33" s="13">
        <v>0.81237157909478397</v>
      </c>
      <c r="T33" s="14">
        <v>0.82931697812210103</v>
      </c>
    </row>
    <row r="34" spans="1:20">
      <c r="A34" s="12"/>
      <c r="B34" s="14" t="s">
        <v>9</v>
      </c>
      <c r="C34" s="12">
        <v>0.94109035285916098</v>
      </c>
      <c r="D34" s="13">
        <v>0.93400919604557897</v>
      </c>
      <c r="E34" s="14">
        <v>0.934707550195779</v>
      </c>
      <c r="F34" s="12">
        <v>0.91515241167598604</v>
      </c>
      <c r="G34" s="13">
        <v>0.90720281327688801</v>
      </c>
      <c r="H34" s="13">
        <v>0.90395128288549997</v>
      </c>
      <c r="I34" s="15"/>
      <c r="J34" s="16"/>
      <c r="K34" s="23"/>
      <c r="L34" s="17">
        <f>(L33-I33)/I33</f>
        <v>0</v>
      </c>
      <c r="M34" s="18">
        <f t="shared" ref="M34" si="56">(M33-J33)/J33</f>
        <v>0</v>
      </c>
      <c r="N34" s="18">
        <f t="shared" ref="N34" si="57">(N33-K33)/K33</f>
        <v>0</v>
      </c>
      <c r="O34" s="20">
        <f>(R33-I33)/I33</f>
        <v>0</v>
      </c>
      <c r="P34" s="21">
        <f t="shared" ref="P34:Q34" si="58">(S33-J33)/J33</f>
        <v>0</v>
      </c>
      <c r="Q34" s="22">
        <f t="shared" si="58"/>
        <v>0</v>
      </c>
      <c r="R34" s="18">
        <f>(R33-O33)/O33</f>
        <v>0</v>
      </c>
      <c r="S34" s="18">
        <f t="shared" ref="S34" si="59">(S33-P33)/P33</f>
        <v>0</v>
      </c>
      <c r="T34" s="19">
        <f t="shared" ref="T34" si="60">(T33-Q33)/Q33</f>
        <v>0</v>
      </c>
    </row>
    <row r="35" spans="1:20">
      <c r="A35" s="12"/>
      <c r="B35" s="14" t="s">
        <v>10</v>
      </c>
      <c r="C35" s="12">
        <v>0.97884708000509502</v>
      </c>
      <c r="D35" s="13">
        <v>0.90913999947712898</v>
      </c>
      <c r="E35" s="14">
        <v>0.92517935959932096</v>
      </c>
      <c r="F35" s="12">
        <v>0.97829089761806798</v>
      </c>
      <c r="G35" s="13">
        <v>0.91061603233627697</v>
      </c>
      <c r="H35" s="14">
        <v>0.92416895993763004</v>
      </c>
      <c r="I35" s="12">
        <v>0.97851045526506897</v>
      </c>
      <c r="J35" s="13">
        <v>0.90810010636820604</v>
      </c>
      <c r="K35" s="14">
        <v>0.92214924512866203</v>
      </c>
      <c r="L35" s="12">
        <v>0.97827192943926</v>
      </c>
      <c r="M35" s="13">
        <v>0.91022843930117603</v>
      </c>
      <c r="N35" s="13">
        <v>0.92372448641528304</v>
      </c>
      <c r="O35" s="12">
        <v>0.98113796847425905</v>
      </c>
      <c r="P35" s="13">
        <v>0.93672249836342003</v>
      </c>
      <c r="Q35" s="14">
        <v>0.94005438752974901</v>
      </c>
      <c r="R35" s="13">
        <v>0.98026878812105001</v>
      </c>
      <c r="S35" s="13">
        <v>0.93023241348570296</v>
      </c>
      <c r="T35" s="14">
        <v>0.93758372987929495</v>
      </c>
    </row>
    <row r="36" spans="1:20">
      <c r="A36" s="12"/>
      <c r="B36" s="14" t="s">
        <v>11</v>
      </c>
      <c r="C36" s="12">
        <v>0.95308206741458301</v>
      </c>
      <c r="D36" s="13">
        <v>0.93950409777567101</v>
      </c>
      <c r="E36" s="14">
        <v>0.95101481288483003</v>
      </c>
      <c r="F36" s="12">
        <v>0.93596669229335405</v>
      </c>
      <c r="G36" s="13">
        <v>0.91826592471482105</v>
      </c>
      <c r="H36" s="13">
        <v>0.92527361975103894</v>
      </c>
      <c r="I36" s="15"/>
      <c r="J36" s="16"/>
      <c r="K36" s="23"/>
      <c r="L36" s="18">
        <f>(L35-I35)/I35</f>
        <v>-2.4376420765412452E-4</v>
      </c>
      <c r="M36" s="18">
        <f t="shared" ref="M36" si="61">(M35-J35)/J35</f>
        <v>2.3437206075020739E-3</v>
      </c>
      <c r="N36" s="18">
        <f t="shared" ref="N36" si="62">(N35-K35)/K35</f>
        <v>1.7082281365433701E-3</v>
      </c>
      <c r="O36" s="20">
        <f>(R35-I35)/I35</f>
        <v>1.79694846030513E-3</v>
      </c>
      <c r="P36" s="21">
        <f t="shared" ref="P36" si="63">(S35-J35)/J35</f>
        <v>2.4372100567206588E-2</v>
      </c>
      <c r="Q36" s="22">
        <f t="shared" ref="Q36" si="64">(T35-K35)/K35</f>
        <v>1.6737512753132962E-2</v>
      </c>
      <c r="R36" s="18">
        <f>(R35-O35)/O35</f>
        <v>-8.8589003905401931E-4</v>
      </c>
      <c r="S36" s="18">
        <f t="shared" ref="S36" si="65">(S35-P35)/P35</f>
        <v>-6.928503253691592E-3</v>
      </c>
      <c r="T36" s="18">
        <f t="shared" ref="T36" si="66">(T35-Q35)/Q35</f>
        <v>-2.6282071369789551E-3</v>
      </c>
    </row>
    <row r="37" spans="1:20">
      <c r="A37" s="12"/>
      <c r="B37" s="14" t="s">
        <v>12</v>
      </c>
      <c r="C37" s="12">
        <v>0.95272902459528896</v>
      </c>
      <c r="D37" s="13">
        <v>0.93947369408674897</v>
      </c>
      <c r="E37" s="14">
        <v>0.95068368153232696</v>
      </c>
      <c r="F37" s="12">
        <v>0.93596669229335405</v>
      </c>
      <c r="G37" s="13">
        <v>0.91826592471482105</v>
      </c>
      <c r="H37" s="14">
        <v>0.92527361975103894</v>
      </c>
      <c r="I37" s="12"/>
      <c r="J37" s="13"/>
      <c r="K37" s="14"/>
      <c r="L37" s="12"/>
      <c r="M37" s="13"/>
      <c r="N37" s="13"/>
      <c r="O37" s="12"/>
      <c r="P37" s="13"/>
      <c r="Q37" s="14"/>
      <c r="R37" s="13"/>
      <c r="S37" s="13"/>
      <c r="T37" s="14"/>
    </row>
    <row r="38" spans="1:20">
      <c r="A38" s="12"/>
      <c r="B38" s="14" t="s">
        <v>13</v>
      </c>
      <c r="C38" s="12">
        <v>0.95282306623003099</v>
      </c>
      <c r="D38" s="13">
        <v>0.93903050055732495</v>
      </c>
      <c r="E38" s="14">
        <v>0.95101481288483003</v>
      </c>
      <c r="F38" s="12">
        <v>0.93596669229335405</v>
      </c>
      <c r="G38" s="13">
        <v>0.91826592471482105</v>
      </c>
      <c r="H38" s="14">
        <v>0.92527361975103894</v>
      </c>
      <c r="I38" s="12"/>
      <c r="J38" s="13" t="s">
        <v>20</v>
      </c>
      <c r="K38" s="14" t="s">
        <v>21</v>
      </c>
      <c r="L38" s="24">
        <f>(O33-I33)/I33</f>
        <v>0</v>
      </c>
      <c r="M38" s="25">
        <f t="shared" ref="M38" si="67">(P33-J33)/J33</f>
        <v>0</v>
      </c>
      <c r="N38" s="25">
        <f t="shared" ref="N38" si="68">(Q33-K33)/K33</f>
        <v>0</v>
      </c>
      <c r="O38" s="12"/>
      <c r="P38" s="13" t="s">
        <v>20</v>
      </c>
      <c r="Q38" s="14" t="s">
        <v>21</v>
      </c>
      <c r="R38" s="24">
        <f>(R33-L33)/L33</f>
        <v>0</v>
      </c>
      <c r="S38" s="25">
        <f t="shared" ref="S38:T38" si="69">(S33-M33)/M33</f>
        <v>0</v>
      </c>
      <c r="T38" s="26">
        <f t="shared" si="69"/>
        <v>0</v>
      </c>
    </row>
    <row r="39" spans="1:20">
      <c r="A39" s="6"/>
      <c r="B39" s="8" t="s">
        <v>14</v>
      </c>
      <c r="C39" s="6">
        <v>0.99193580639082302</v>
      </c>
      <c r="D39" s="7">
        <v>0.96784668983206701</v>
      </c>
      <c r="E39" s="8">
        <v>0.97172944409439999</v>
      </c>
      <c r="F39" s="6">
        <v>0.98554972941472996</v>
      </c>
      <c r="G39" s="7">
        <v>0.96099368020470399</v>
      </c>
      <c r="H39" s="8">
        <v>0.96564914341592401</v>
      </c>
      <c r="I39" s="6"/>
      <c r="J39" s="7"/>
      <c r="K39" s="8" t="s">
        <v>10</v>
      </c>
      <c r="L39" s="27">
        <f>(O35-I35)/I35</f>
        <v>2.6852173066237825E-3</v>
      </c>
      <c r="M39" s="28">
        <f t="shared" ref="M39" si="70">(P35-J35)/J35</f>
        <v>3.1518983198542336E-2</v>
      </c>
      <c r="N39" s="28">
        <f t="shared" ref="N39" si="71">(Q35-K35)/K35</f>
        <v>1.9416751134019292E-2</v>
      </c>
      <c r="O39" s="6"/>
      <c r="P39" s="7"/>
      <c r="Q39" s="8" t="s">
        <v>10</v>
      </c>
      <c r="R39" s="27">
        <f>(R35-L35)/L35</f>
        <v>2.0412102419565406E-3</v>
      </c>
      <c r="S39" s="28">
        <f t="shared" ref="S39:T39" si="72">(S35-M35)/M35</f>
        <v>2.1976872311180361E-2</v>
      </c>
      <c r="T39" s="29">
        <f t="shared" si="72"/>
        <v>1.5003654951051219E-2</v>
      </c>
    </row>
    <row r="40" spans="1:20">
      <c r="C40" s="30"/>
    </row>
    <row r="41" spans="1:20">
      <c r="C41" s="30"/>
    </row>
    <row r="42" spans="1:20">
      <c r="C42" s="30"/>
    </row>
    <row r="43" spans="1:20">
      <c r="B43" s="30"/>
    </row>
    <row r="44" spans="1:20">
      <c r="B44" s="30"/>
      <c r="C44" s="30"/>
    </row>
    <row r="45" spans="1:20">
      <c r="B45" s="30"/>
      <c r="C45" s="30"/>
    </row>
    <row r="46" spans="1:20">
      <c r="C46" s="30"/>
    </row>
    <row r="47" spans="1:20">
      <c r="B47" s="30"/>
    </row>
    <row r="48" spans="1:20">
      <c r="B48" s="30"/>
    </row>
    <row r="49" spans="2:2">
      <c r="B49" s="30"/>
    </row>
    <row r="51" spans="2:2">
      <c r="B51" s="30"/>
    </row>
    <row r="52" spans="2:2">
      <c r="B52" s="30"/>
    </row>
    <row r="53" spans="2:2">
      <c r="B53" s="30"/>
    </row>
    <row r="55" spans="2:2">
      <c r="B55" s="30"/>
    </row>
    <row r="56" spans="2:2">
      <c r="B56" s="30"/>
    </row>
    <row r="57" spans="2:2">
      <c r="B57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0D40-B7F2-0943-A18A-0FCF1B222209}">
  <dimension ref="A1:V39"/>
  <sheetViews>
    <sheetView workbookViewId="0">
      <selection activeCell="R19" sqref="R19"/>
    </sheetView>
  </sheetViews>
  <sheetFormatPr baseColWidth="10" defaultRowHeight="16"/>
  <sheetData>
    <row r="1" spans="1:22">
      <c r="A1" s="1"/>
      <c r="B1" s="1"/>
      <c r="C1" s="2" t="s">
        <v>0</v>
      </c>
      <c r="D1" s="3"/>
      <c r="E1" s="4"/>
      <c r="F1" s="2" t="s">
        <v>4</v>
      </c>
      <c r="G1" s="3"/>
      <c r="H1" s="4"/>
      <c r="I1" s="2" t="s">
        <v>19</v>
      </c>
      <c r="J1" s="3"/>
      <c r="K1" s="4"/>
      <c r="L1" s="2" t="s">
        <v>5</v>
      </c>
      <c r="M1" s="3"/>
      <c r="N1" s="3"/>
      <c r="O1" s="2" t="s">
        <v>6</v>
      </c>
      <c r="P1" s="3"/>
      <c r="Q1" s="4"/>
      <c r="R1" s="3" t="s">
        <v>7</v>
      </c>
      <c r="S1" s="3"/>
      <c r="T1" s="4"/>
    </row>
    <row r="2" spans="1:22">
      <c r="A2" s="1"/>
      <c r="B2" s="1"/>
      <c r="C2" s="12" t="s">
        <v>1</v>
      </c>
      <c r="D2" s="13" t="s">
        <v>3</v>
      </c>
      <c r="E2" s="14" t="s">
        <v>2</v>
      </c>
      <c r="F2" s="12" t="s">
        <v>1</v>
      </c>
      <c r="G2" s="13" t="s">
        <v>3</v>
      </c>
      <c r="H2" s="14" t="s">
        <v>2</v>
      </c>
      <c r="I2" s="9" t="s">
        <v>1</v>
      </c>
      <c r="J2" s="10" t="s">
        <v>3</v>
      </c>
      <c r="K2" s="11" t="s">
        <v>2</v>
      </c>
      <c r="L2" s="9" t="s">
        <v>1</v>
      </c>
      <c r="M2" s="10" t="s">
        <v>3</v>
      </c>
      <c r="N2" s="10" t="s">
        <v>2</v>
      </c>
      <c r="O2" s="9" t="s">
        <v>1</v>
      </c>
      <c r="P2" s="10" t="s">
        <v>3</v>
      </c>
      <c r="Q2" s="11" t="s">
        <v>2</v>
      </c>
      <c r="R2" s="10" t="s">
        <v>1</v>
      </c>
      <c r="S2" s="10" t="s">
        <v>3</v>
      </c>
      <c r="T2" s="11" t="s">
        <v>2</v>
      </c>
    </row>
    <row r="3" spans="1:22">
      <c r="A3" s="2" t="s">
        <v>15</v>
      </c>
      <c r="B3" s="3" t="s">
        <v>8</v>
      </c>
      <c r="C3" s="2">
        <v>0.85879869431793698</v>
      </c>
      <c r="D3" s="35">
        <v>0.83453561767357898</v>
      </c>
      <c r="E3" s="3">
        <v>0.85776439089692103</v>
      </c>
      <c r="F3" s="2">
        <v>0.85879869431793698</v>
      </c>
      <c r="G3" s="35">
        <v>0.83453561767357898</v>
      </c>
      <c r="H3" s="4">
        <v>0.85776439089692103</v>
      </c>
      <c r="I3" s="45">
        <v>0.85879869431793698</v>
      </c>
      <c r="J3" s="45">
        <v>0.83453561767357898</v>
      </c>
      <c r="K3" s="45">
        <v>0.85776439089692103</v>
      </c>
      <c r="L3" s="1">
        <v>0.85879869431793698</v>
      </c>
      <c r="M3" s="1">
        <v>0.83453561767357898</v>
      </c>
      <c r="N3" s="1">
        <v>0.85776439089692103</v>
      </c>
      <c r="O3" s="1">
        <v>0.85879869431793698</v>
      </c>
      <c r="P3" s="1">
        <v>0.83453561767357898</v>
      </c>
      <c r="Q3" s="1">
        <v>0.85776439089692103</v>
      </c>
      <c r="R3" s="2">
        <v>0.85879869431793698</v>
      </c>
      <c r="S3" s="3">
        <v>0.83453561767357898</v>
      </c>
      <c r="T3" s="4">
        <v>0.85776439089692103</v>
      </c>
    </row>
    <row r="4" spans="1:22">
      <c r="A4" s="12"/>
      <c r="B4" s="13" t="s">
        <v>9</v>
      </c>
      <c r="C4" s="12">
        <v>0.94898457809659698</v>
      </c>
      <c r="D4" s="36">
        <v>0.94319206492335395</v>
      </c>
      <c r="E4" s="13">
        <v>0.94042838018741604</v>
      </c>
      <c r="F4" s="12">
        <v>0.92693653368776996</v>
      </c>
      <c r="G4" s="36">
        <v>0.919747520288548</v>
      </c>
      <c r="H4" s="14">
        <v>0.91733601070950399</v>
      </c>
      <c r="I4" s="16"/>
      <c r="J4" s="16"/>
      <c r="K4" s="16"/>
      <c r="L4" s="17">
        <f>(L3-I3)/I3</f>
        <v>0</v>
      </c>
      <c r="M4" s="18">
        <f t="shared" ref="M4:N4" si="0">(M3-J3)/J3</f>
        <v>0</v>
      </c>
      <c r="N4" s="19">
        <f t="shared" si="0"/>
        <v>0</v>
      </c>
      <c r="O4" s="20">
        <f>(R3-I3)/I3</f>
        <v>0</v>
      </c>
      <c r="P4" s="21">
        <f t="shared" ref="P4:Q4" si="1">(S3-J3)/J3</f>
        <v>0</v>
      </c>
      <c r="Q4" s="21">
        <f t="shared" si="1"/>
        <v>0</v>
      </c>
      <c r="R4" s="17">
        <f>(R3-O3)/O3</f>
        <v>0</v>
      </c>
      <c r="S4" s="18">
        <f t="shared" ref="S4:T4" si="2">(S3-P3)/P3</f>
        <v>0</v>
      </c>
      <c r="T4" s="19">
        <f t="shared" si="2"/>
        <v>0</v>
      </c>
    </row>
    <row r="5" spans="1:22">
      <c r="A5" s="12"/>
      <c r="B5" s="13" t="s">
        <v>10</v>
      </c>
      <c r="C5" s="12">
        <v>0.97756103281796602</v>
      </c>
      <c r="D5" s="36">
        <v>0.92064923354373296</v>
      </c>
      <c r="E5" s="13">
        <v>0.93072289156626498</v>
      </c>
      <c r="F5" s="46">
        <v>0.97740466370868395</v>
      </c>
      <c r="G5" s="48">
        <v>0.92200180342650995</v>
      </c>
      <c r="H5" s="47">
        <v>0.92704149933065505</v>
      </c>
      <c r="I5" s="45">
        <v>0.97760012509528704</v>
      </c>
      <c r="J5" s="45">
        <v>0.91929666366095497</v>
      </c>
      <c r="K5" s="45">
        <v>0.92704149933065505</v>
      </c>
      <c r="L5" s="1">
        <v>0.97744375598600497</v>
      </c>
      <c r="M5" s="1">
        <v>0.92200180342650995</v>
      </c>
      <c r="N5" s="1">
        <v>0.92704149933065505</v>
      </c>
      <c r="O5" s="1">
        <v>0.97906608549481</v>
      </c>
      <c r="P5" s="1">
        <v>0.94409377817853901</v>
      </c>
      <c r="Q5" s="1">
        <v>0.94076305220883505</v>
      </c>
      <c r="R5" s="12">
        <v>0.97838197064169896</v>
      </c>
      <c r="S5" s="13">
        <v>0.93733092876465196</v>
      </c>
      <c r="T5" s="14">
        <v>0.93741633199464502</v>
      </c>
    </row>
    <row r="6" spans="1:22">
      <c r="A6" s="12"/>
      <c r="B6" s="13" t="s">
        <v>11</v>
      </c>
      <c r="C6" s="12">
        <v>0.96114227634330796</v>
      </c>
      <c r="D6" s="36">
        <v>0.94995491433724</v>
      </c>
      <c r="E6" s="13">
        <v>0.95716198125836605</v>
      </c>
      <c r="F6" s="12">
        <v>0.95072418443736395</v>
      </c>
      <c r="G6" s="36">
        <v>0.94860234445446301</v>
      </c>
      <c r="H6" s="14">
        <v>0.94109772423025395</v>
      </c>
      <c r="I6" s="16"/>
      <c r="J6" s="16"/>
      <c r="K6" s="23"/>
      <c r="L6" s="18">
        <f>(L5-I5)/I5</f>
        <v>-1.5995201439528413E-4</v>
      </c>
      <c r="M6" s="18">
        <f t="shared" ref="M6:N6" si="3">(M5-J5)/J5</f>
        <v>2.9426189308489172E-3</v>
      </c>
      <c r="N6" s="18">
        <f t="shared" si="3"/>
        <v>0</v>
      </c>
      <c r="O6" s="20">
        <f>(R5-I5)/I5</f>
        <v>7.9976007197801063E-4</v>
      </c>
      <c r="P6" s="21">
        <f t="shared" ref="P6:Q6" si="4">(S5-J5)/J5</f>
        <v>1.961745953898968E-2</v>
      </c>
      <c r="Q6" s="21">
        <f t="shared" si="4"/>
        <v>1.1191335740072951E-2</v>
      </c>
      <c r="R6" s="17">
        <f>(R5-O5)/O5</f>
        <v>-6.9874226392521298E-4</v>
      </c>
      <c r="S6" s="18">
        <f t="shared" ref="S6:T6" si="5">(S5-P5)/P5</f>
        <v>-7.1633237822356652E-3</v>
      </c>
      <c r="T6" s="19">
        <f t="shared" si="5"/>
        <v>-3.5574528637494825E-3</v>
      </c>
    </row>
    <row r="7" spans="1:22">
      <c r="A7" s="12"/>
      <c r="B7" s="13" t="s">
        <v>12</v>
      </c>
      <c r="C7" s="12">
        <v>0.96149410683919301</v>
      </c>
      <c r="D7" s="36">
        <v>0.95085662759242495</v>
      </c>
      <c r="E7" s="13">
        <v>0.95615796519410901</v>
      </c>
      <c r="F7" s="12">
        <v>0.95080236899200499</v>
      </c>
      <c r="G7" s="36">
        <v>0.94860234445446301</v>
      </c>
      <c r="H7" s="14">
        <v>0.94109772423025395</v>
      </c>
      <c r="I7" s="13"/>
      <c r="J7" s="13"/>
      <c r="K7" s="14"/>
      <c r="L7" s="12"/>
      <c r="M7" s="13"/>
      <c r="N7" s="13"/>
      <c r="O7" s="12"/>
      <c r="P7" s="13"/>
      <c r="Q7" s="13"/>
      <c r="R7" s="12"/>
      <c r="S7" s="13"/>
      <c r="T7" s="14"/>
    </row>
    <row r="8" spans="1:22">
      <c r="A8" s="12"/>
      <c r="B8" s="13" t="s">
        <v>13</v>
      </c>
      <c r="C8" s="12">
        <v>0.96131819159125098</v>
      </c>
      <c r="D8" s="36">
        <v>0.94995491433724</v>
      </c>
      <c r="E8" s="13">
        <v>0.95649263721552802</v>
      </c>
      <c r="F8" s="12">
        <v>0.95045053849612005</v>
      </c>
      <c r="G8" s="36">
        <v>0.94995491433724</v>
      </c>
      <c r="H8" s="14">
        <v>0.94143239625167296</v>
      </c>
      <c r="I8" s="13"/>
      <c r="J8" s="13" t="s">
        <v>20</v>
      </c>
      <c r="K8" s="14" t="s">
        <v>21</v>
      </c>
      <c r="L8" s="24">
        <f>(O3-I3)/I3</f>
        <v>0</v>
      </c>
      <c r="M8" s="25">
        <f t="shared" ref="M8:N8" si="6">(P3-J3)/J3</f>
        <v>0</v>
      </c>
      <c r="N8" s="25">
        <f t="shared" si="6"/>
        <v>0</v>
      </c>
      <c r="O8" s="12"/>
      <c r="P8" s="13" t="s">
        <v>20</v>
      </c>
      <c r="Q8" s="13" t="s">
        <v>21</v>
      </c>
      <c r="R8" s="24">
        <f>(R3-L3)/L3</f>
        <v>0</v>
      </c>
      <c r="S8" s="25">
        <f t="shared" ref="S8:T8" si="7">(S3-M3)/M3</f>
        <v>0</v>
      </c>
      <c r="T8" s="26">
        <f t="shared" si="7"/>
        <v>0</v>
      </c>
    </row>
    <row r="9" spans="1:22">
      <c r="A9" s="12"/>
      <c r="B9" s="13" t="s">
        <v>14</v>
      </c>
      <c r="C9" s="12">
        <v>0.98661089501768895</v>
      </c>
      <c r="D9" s="36">
        <v>0.97024346257889904</v>
      </c>
      <c r="E9" s="13">
        <v>0.97489959839357399</v>
      </c>
      <c r="F9" s="12">
        <v>0.991262876018842</v>
      </c>
      <c r="G9" s="36">
        <v>0.96528403967538301</v>
      </c>
      <c r="H9" s="14">
        <v>0.96653279785809898</v>
      </c>
      <c r="I9" s="13"/>
      <c r="J9" s="13"/>
      <c r="K9" s="14" t="s">
        <v>10</v>
      </c>
      <c r="L9" s="24">
        <f>(O5-I5)/I5</f>
        <v>1.4995501349593945E-3</v>
      </c>
      <c r="M9" s="25">
        <f t="shared" ref="M9:N9" si="8">(P5-J5)/J5</f>
        <v>2.6974006866111552E-2</v>
      </c>
      <c r="N9" s="25">
        <f t="shared" si="8"/>
        <v>1.4801444043321977E-2</v>
      </c>
      <c r="O9" s="12"/>
      <c r="P9" s="13"/>
      <c r="Q9" s="13" t="s">
        <v>10</v>
      </c>
      <c r="R9" s="27">
        <f>(R5-L5)/L5</f>
        <v>9.5986561881257265E-4</v>
      </c>
      <c r="S9" s="28">
        <f t="shared" ref="S9:T9" si="9">(S5-M5)/M5</f>
        <v>1.6625916870415161E-2</v>
      </c>
      <c r="T9" s="29">
        <f t="shared" si="9"/>
        <v>1.1191335740072951E-2</v>
      </c>
    </row>
    <row r="10" spans="1:22">
      <c r="A10" s="6"/>
      <c r="B10" s="7"/>
      <c r="C10" s="12"/>
      <c r="D10" s="36"/>
      <c r="E10" s="13"/>
      <c r="F10" s="12"/>
      <c r="G10" s="36"/>
      <c r="H10" s="14"/>
      <c r="I10" s="7"/>
      <c r="J10" s="7"/>
      <c r="K10" s="8"/>
      <c r="L10" s="12"/>
      <c r="M10" s="13"/>
      <c r="N10" s="13"/>
      <c r="O10" s="6"/>
      <c r="P10" s="7"/>
      <c r="Q10" s="7"/>
      <c r="R10" s="6"/>
      <c r="S10" s="7"/>
      <c r="T10" s="8"/>
    </row>
    <row r="11" spans="1:22">
      <c r="A11" s="2"/>
      <c r="B11" s="3"/>
      <c r="C11" s="2" t="s">
        <v>0</v>
      </c>
      <c r="D11" s="3"/>
      <c r="E11" s="3"/>
      <c r="F11" s="3" t="s">
        <v>4</v>
      </c>
      <c r="G11" s="3"/>
      <c r="H11" s="4"/>
      <c r="I11" s="3" t="s">
        <v>19</v>
      </c>
      <c r="J11" s="3"/>
      <c r="K11" s="4"/>
      <c r="L11" s="2" t="s">
        <v>5</v>
      </c>
      <c r="M11" s="3"/>
      <c r="N11" s="3"/>
      <c r="O11" s="2" t="s">
        <v>6</v>
      </c>
      <c r="P11" s="3"/>
      <c r="Q11" s="3"/>
      <c r="R11" s="2" t="s">
        <v>7</v>
      </c>
      <c r="S11" s="3"/>
      <c r="T11" s="4"/>
    </row>
    <row r="12" spans="1:22">
      <c r="A12" s="12"/>
      <c r="B12" s="13"/>
      <c r="C12" s="6" t="s">
        <v>1</v>
      </c>
      <c r="D12" s="7" t="s">
        <v>3</v>
      </c>
      <c r="E12" s="7" t="s">
        <v>2</v>
      </c>
      <c r="F12" s="7" t="s">
        <v>1</v>
      </c>
      <c r="G12" s="7" t="s">
        <v>3</v>
      </c>
      <c r="H12" s="8" t="s">
        <v>2</v>
      </c>
      <c r="I12" s="10" t="s">
        <v>1</v>
      </c>
      <c r="J12" s="10" t="s">
        <v>3</v>
      </c>
      <c r="K12" s="11" t="s">
        <v>2</v>
      </c>
      <c r="L12" s="9" t="s">
        <v>1</v>
      </c>
      <c r="M12" s="10" t="s">
        <v>3</v>
      </c>
      <c r="N12" s="10" t="s">
        <v>2</v>
      </c>
      <c r="O12" s="9" t="s">
        <v>1</v>
      </c>
      <c r="P12" s="10" t="s">
        <v>3</v>
      </c>
      <c r="Q12" s="10" t="s">
        <v>2</v>
      </c>
      <c r="R12" s="9" t="s">
        <v>1</v>
      </c>
      <c r="S12" s="10" t="s">
        <v>3</v>
      </c>
      <c r="T12" s="11" t="s">
        <v>2</v>
      </c>
    </row>
    <row r="13" spans="1:22">
      <c r="A13" s="12" t="s">
        <v>16</v>
      </c>
      <c r="B13" s="13" t="s">
        <v>8</v>
      </c>
      <c r="C13" s="12">
        <v>0.818069066817671</v>
      </c>
      <c r="D13" s="36">
        <v>0.79707253107771303</v>
      </c>
      <c r="E13" s="13">
        <v>0.82359851527708505</v>
      </c>
      <c r="F13" s="12">
        <v>0.818069066817671</v>
      </c>
      <c r="G13" s="36">
        <v>0.79707253107771303</v>
      </c>
      <c r="H13" s="14">
        <v>0.82359851527708505</v>
      </c>
      <c r="I13" s="45">
        <v>0.818069066817671</v>
      </c>
      <c r="J13" s="45">
        <v>0.79707253107771303</v>
      </c>
      <c r="K13" s="45">
        <v>0.82359851527708505</v>
      </c>
      <c r="L13" s="1">
        <v>0.818069066817671</v>
      </c>
      <c r="M13" s="1">
        <v>0.79707253107771303</v>
      </c>
      <c r="N13" s="1">
        <v>0.82359851527708505</v>
      </c>
      <c r="O13" s="1">
        <v>0.818069066817671</v>
      </c>
      <c r="P13" s="1">
        <v>0.79707253107771303</v>
      </c>
      <c r="Q13" s="1">
        <v>0.82359851527708505</v>
      </c>
      <c r="R13" s="12">
        <v>0.818069066817671</v>
      </c>
      <c r="S13" s="13">
        <v>0.79707253107771303</v>
      </c>
      <c r="T13" s="14">
        <v>0.82359851527708505</v>
      </c>
      <c r="V13" s="31"/>
    </row>
    <row r="14" spans="1:22">
      <c r="A14" s="12"/>
      <c r="B14" s="13" t="s">
        <v>9</v>
      </c>
      <c r="C14" s="12">
        <v>0.93871024898410604</v>
      </c>
      <c r="D14" s="36">
        <v>0.93357368389527595</v>
      </c>
      <c r="E14" s="13">
        <v>0.93060925001252404</v>
      </c>
      <c r="F14" s="12">
        <v>0.91459991475988001</v>
      </c>
      <c r="G14" s="36">
        <v>0.90894380496643301</v>
      </c>
      <c r="H14" s="14">
        <v>0.90664889287572203</v>
      </c>
      <c r="I14" s="16"/>
      <c r="J14" s="16"/>
      <c r="K14" s="23"/>
      <c r="L14" s="17">
        <f>(L13-I13)/I13</f>
        <v>0</v>
      </c>
      <c r="M14" s="18">
        <f t="shared" ref="M14:N14" si="10">(M13-J13)/J13</f>
        <v>0</v>
      </c>
      <c r="N14" s="19">
        <f t="shared" si="10"/>
        <v>0</v>
      </c>
      <c r="O14" s="20">
        <f>(R13-I13)/I13</f>
        <v>0</v>
      </c>
      <c r="P14" s="21">
        <f t="shared" ref="P14:Q14" si="11">(S13-J13)/J13</f>
        <v>0</v>
      </c>
      <c r="Q14" s="21">
        <f t="shared" si="11"/>
        <v>0</v>
      </c>
      <c r="R14" s="17">
        <f>(R13-O13)/O13</f>
        <v>0</v>
      </c>
      <c r="S14" s="18">
        <f t="shared" ref="S14:T14" si="12">(S13-P13)/P13</f>
        <v>0</v>
      </c>
      <c r="T14" s="19">
        <f t="shared" si="12"/>
        <v>0</v>
      </c>
      <c r="V14" s="31"/>
    </row>
    <row r="15" spans="1:22">
      <c r="A15" s="12"/>
      <c r="B15" s="13" t="s">
        <v>10</v>
      </c>
      <c r="C15" s="12">
        <v>0.97256459965672704</v>
      </c>
      <c r="D15" s="36">
        <v>0.90254414582827702</v>
      </c>
      <c r="E15" s="13">
        <v>0.91667141566684995</v>
      </c>
      <c r="F15" s="46">
        <v>0.972392543336834</v>
      </c>
      <c r="G15" s="48">
        <v>0.90479210475711902</v>
      </c>
      <c r="H15" s="47">
        <v>0.91233017423493601</v>
      </c>
      <c r="I15" s="45">
        <v>0.97261574745843105</v>
      </c>
      <c r="J15" s="45">
        <v>0.90074060406870904</v>
      </c>
      <c r="K15" s="45">
        <v>0.91244537446449703</v>
      </c>
      <c r="L15" s="1">
        <v>0.972442550236986</v>
      </c>
      <c r="M15" s="1">
        <v>0.90479210475711902</v>
      </c>
      <c r="N15" s="1">
        <v>0.912387859354446</v>
      </c>
      <c r="O15" s="1">
        <v>0.974417816699504</v>
      </c>
      <c r="P15" s="1">
        <v>0.93295676482604395</v>
      </c>
      <c r="Q15" s="1">
        <v>0.93048370630537003</v>
      </c>
      <c r="R15" s="12">
        <v>0.973599525317555</v>
      </c>
      <c r="S15" s="13">
        <v>0.92501148657013799</v>
      </c>
      <c r="T15" s="14">
        <v>0.92628765670877999</v>
      </c>
      <c r="V15" s="31"/>
    </row>
    <row r="16" spans="1:22">
      <c r="A16" s="12"/>
      <c r="B16" s="13" t="s">
        <v>11</v>
      </c>
      <c r="C16" s="12">
        <v>0.95295484244417605</v>
      </c>
      <c r="D16" s="36">
        <v>0.94092904349620299</v>
      </c>
      <c r="E16" s="13">
        <v>0.94989401422750896</v>
      </c>
      <c r="F16" s="12">
        <v>0.94102704641274704</v>
      </c>
      <c r="G16" s="36">
        <v>0.94051101072840204</v>
      </c>
      <c r="H16" s="14">
        <v>0.93182451054870896</v>
      </c>
      <c r="I16" s="16"/>
      <c r="J16" s="16"/>
      <c r="K16" s="23"/>
      <c r="L16" s="18">
        <f>(L15-I15)/I15</f>
        <v>-1.7807363483228521E-4</v>
      </c>
      <c r="M16" s="18">
        <f t="shared" ref="M16:N16" si="13">(M15-J15)/J15</f>
        <v>4.4979660849184169E-3</v>
      </c>
      <c r="N16" s="18">
        <f t="shared" si="13"/>
        <v>-6.3034031034226831E-5</v>
      </c>
      <c r="O16" s="20">
        <f>(R15-I15)/I15</f>
        <v>1.0114763838593964E-3</v>
      </c>
      <c r="P16" s="21">
        <f t="shared" ref="P16:Q16" si="14">(S15-J15)/J15</f>
        <v>2.6945473970858707E-2</v>
      </c>
      <c r="Q16" s="21">
        <f t="shared" si="14"/>
        <v>1.5170532539996525E-2</v>
      </c>
      <c r="R16" s="17">
        <f>(R15-O15)/O15</f>
        <v>-8.3977465100204334E-4</v>
      </c>
      <c r="S16" s="18">
        <f t="shared" ref="S16:T16" si="15">(S15-P15)/P15</f>
        <v>-8.5162341444487127E-3</v>
      </c>
      <c r="T16" s="19">
        <f t="shared" si="15"/>
        <v>-4.5095358125625869E-3</v>
      </c>
      <c r="V16" s="31"/>
    </row>
    <row r="17" spans="1:22">
      <c r="A17" s="12"/>
      <c r="B17" s="13" t="s">
        <v>12</v>
      </c>
      <c r="C17" s="12">
        <v>0.95344321324377201</v>
      </c>
      <c r="D17" s="36">
        <v>0.94199338505482999</v>
      </c>
      <c r="E17" s="13">
        <v>0.948765425392599</v>
      </c>
      <c r="F17" s="12">
        <v>0.94112285103139603</v>
      </c>
      <c r="G17" s="36">
        <v>0.94051101072840204</v>
      </c>
      <c r="H17" s="14">
        <v>0.93182451054870896</v>
      </c>
      <c r="I17" s="13"/>
      <c r="J17" s="13"/>
      <c r="K17" s="14"/>
      <c r="L17" s="12"/>
      <c r="M17" s="13"/>
      <c r="N17" s="13"/>
      <c r="O17" s="12"/>
      <c r="P17" s="13"/>
      <c r="Q17" s="13"/>
      <c r="R17" s="12"/>
      <c r="S17" s="13"/>
      <c r="T17" s="14"/>
      <c r="V17" s="31"/>
    </row>
    <row r="18" spans="1:22">
      <c r="A18" s="12"/>
      <c r="B18" s="13" t="s">
        <v>13</v>
      </c>
      <c r="C18" s="12">
        <v>0.95325530847266404</v>
      </c>
      <c r="D18" s="36">
        <v>0.94102695846822104</v>
      </c>
      <c r="E18" s="13">
        <v>0.94917162467084004</v>
      </c>
      <c r="F18" s="12">
        <v>0.94065672773169295</v>
      </c>
      <c r="G18" s="36">
        <v>0.94200942507601604</v>
      </c>
      <c r="H18" s="14">
        <v>0.93223122565835403</v>
      </c>
      <c r="I18" s="13"/>
      <c r="J18" s="13" t="s">
        <v>20</v>
      </c>
      <c r="K18" s="14" t="s">
        <v>21</v>
      </c>
      <c r="L18" s="24">
        <f>(O13-I13)/I13</f>
        <v>0</v>
      </c>
      <c r="M18" s="25">
        <f t="shared" ref="M18:N18" si="16">(P13-J13)/J13</f>
        <v>0</v>
      </c>
      <c r="N18" s="25">
        <f t="shared" si="16"/>
        <v>0</v>
      </c>
      <c r="O18" s="12"/>
      <c r="P18" s="13" t="s">
        <v>20</v>
      </c>
      <c r="Q18" s="13" t="s">
        <v>21</v>
      </c>
      <c r="R18" s="24">
        <f>(R13-L13)/L13</f>
        <v>0</v>
      </c>
      <c r="S18" s="25">
        <f t="shared" ref="S18:T18" si="17">(S13-M13)/M13</f>
        <v>0</v>
      </c>
      <c r="T18" s="26">
        <f t="shared" si="17"/>
        <v>0</v>
      </c>
    </row>
    <row r="19" spans="1:22">
      <c r="A19" s="12"/>
      <c r="B19" s="13" t="s">
        <v>14</v>
      </c>
      <c r="C19" s="12">
        <v>0.98372422663484305</v>
      </c>
      <c r="D19" s="36">
        <v>0.96500707565210697</v>
      </c>
      <c r="E19" s="13">
        <v>0.97050824907040401</v>
      </c>
      <c r="F19" s="12">
        <v>0.989364670697926</v>
      </c>
      <c r="G19" s="36">
        <v>0.95905687892428704</v>
      </c>
      <c r="H19" s="14">
        <v>0.96073711210158896</v>
      </c>
      <c r="I19" s="13"/>
      <c r="J19" s="13"/>
      <c r="K19" s="14" t="s">
        <v>10</v>
      </c>
      <c r="L19" s="24">
        <f>(O15-I15)/I15</f>
        <v>1.852806975192406E-3</v>
      </c>
      <c r="M19" s="25">
        <f t="shared" ref="M19:N19" si="18">(P15-J15)/J15</f>
        <v>3.576630232034865E-2</v>
      </c>
      <c r="N19" s="25">
        <f t="shared" si="18"/>
        <v>1.9769218350697955E-2</v>
      </c>
      <c r="O19" s="12"/>
      <c r="P19" s="13"/>
      <c r="Q19" s="13" t="s">
        <v>10</v>
      </c>
      <c r="R19" s="27">
        <f>(R15-L15)/L15</f>
        <v>1.1897618839149351E-3</v>
      </c>
      <c r="S19" s="28">
        <f t="shared" ref="S19:T19" si="19">(S15-M15)/M15</f>
        <v>2.2346991874389339E-2</v>
      </c>
      <c r="T19" s="29">
        <f t="shared" si="19"/>
        <v>1.5234526864669931E-2</v>
      </c>
      <c r="V19" s="31"/>
    </row>
    <row r="20" spans="1:22">
      <c r="A20" s="6"/>
      <c r="B20" s="7"/>
      <c r="C20" s="12"/>
      <c r="D20" s="36"/>
      <c r="E20" s="13"/>
      <c r="F20" s="12"/>
      <c r="G20" s="36"/>
      <c r="H20" s="14"/>
      <c r="I20" s="13"/>
      <c r="J20" s="13"/>
      <c r="K20" s="14"/>
      <c r="L20" s="12"/>
      <c r="M20" s="13"/>
      <c r="N20" s="13"/>
      <c r="O20" s="12"/>
      <c r="P20" s="13"/>
      <c r="Q20" s="13"/>
      <c r="R20" s="12"/>
      <c r="S20" s="13"/>
      <c r="T20" s="14"/>
      <c r="V20" s="31"/>
    </row>
    <row r="21" spans="1:22">
      <c r="A21" s="2"/>
      <c r="B21" s="3"/>
      <c r="C21" s="2" t="s">
        <v>0</v>
      </c>
      <c r="D21" s="3"/>
      <c r="E21" s="3"/>
      <c r="F21" s="3" t="s">
        <v>4</v>
      </c>
      <c r="G21" s="3"/>
      <c r="H21" s="4"/>
      <c r="I21" s="3" t="s">
        <v>19</v>
      </c>
      <c r="J21" s="3"/>
      <c r="K21" s="4"/>
      <c r="L21" s="2" t="s">
        <v>5</v>
      </c>
      <c r="M21" s="3"/>
      <c r="N21" s="3"/>
      <c r="O21" s="2" t="s">
        <v>6</v>
      </c>
      <c r="P21" s="3"/>
      <c r="Q21" s="3"/>
      <c r="R21" s="2" t="s">
        <v>7</v>
      </c>
      <c r="S21" s="3"/>
      <c r="T21" s="4"/>
      <c r="V21" s="31"/>
    </row>
    <row r="22" spans="1:22">
      <c r="A22" s="12"/>
      <c r="B22" s="13"/>
      <c r="C22" s="6" t="s">
        <v>1</v>
      </c>
      <c r="D22" s="7" t="s">
        <v>3</v>
      </c>
      <c r="E22" s="7" t="s">
        <v>2</v>
      </c>
      <c r="F22" s="7" t="s">
        <v>1</v>
      </c>
      <c r="G22" s="7" t="s">
        <v>3</v>
      </c>
      <c r="H22" s="8" t="s">
        <v>2</v>
      </c>
      <c r="I22" s="10" t="s">
        <v>1</v>
      </c>
      <c r="J22" s="10" t="s">
        <v>3</v>
      </c>
      <c r="K22" s="11" t="s">
        <v>2</v>
      </c>
      <c r="L22" s="9" t="s">
        <v>1</v>
      </c>
      <c r="M22" s="10" t="s">
        <v>3</v>
      </c>
      <c r="N22" s="10" t="s">
        <v>2</v>
      </c>
      <c r="O22" s="9" t="s">
        <v>1</v>
      </c>
      <c r="P22" s="10" t="s">
        <v>3</v>
      </c>
      <c r="Q22" s="10" t="s">
        <v>2</v>
      </c>
      <c r="R22" s="9" t="s">
        <v>1</v>
      </c>
      <c r="S22" s="10" t="s">
        <v>3</v>
      </c>
      <c r="T22" s="11" t="s">
        <v>2</v>
      </c>
    </row>
    <row r="23" spans="1:22">
      <c r="A23" s="12" t="s">
        <v>17</v>
      </c>
      <c r="B23" s="13" t="s">
        <v>8</v>
      </c>
      <c r="C23" s="12">
        <v>0.85879869431793698</v>
      </c>
      <c r="D23" s="36">
        <v>0.83453561767357898</v>
      </c>
      <c r="E23" s="13">
        <v>0.85776439089692103</v>
      </c>
      <c r="F23" s="12">
        <v>0.85879869431793698</v>
      </c>
      <c r="G23" s="36">
        <v>0.83453561767357898</v>
      </c>
      <c r="H23" s="14">
        <v>0.85776439089692103</v>
      </c>
      <c r="I23" s="45">
        <v>0.85879869431793698</v>
      </c>
      <c r="J23" s="45">
        <v>0.83453561767357898</v>
      </c>
      <c r="K23" s="45">
        <v>0.85776439089692103</v>
      </c>
      <c r="L23" s="1">
        <v>0.85879869431793698</v>
      </c>
      <c r="M23" s="1">
        <v>0.83453561767357898</v>
      </c>
      <c r="N23" s="1">
        <v>0.85776439089692103</v>
      </c>
      <c r="O23" s="1">
        <v>0.85879869431793698</v>
      </c>
      <c r="P23" s="1">
        <v>0.83453561767357898</v>
      </c>
      <c r="Q23" s="1">
        <v>0.85776439089692103</v>
      </c>
      <c r="R23" s="12">
        <v>0.85879869431793698</v>
      </c>
      <c r="S23" s="13">
        <v>0.83453561767357898</v>
      </c>
      <c r="T23" s="14">
        <v>0.85776439089692103</v>
      </c>
      <c r="V23" s="31"/>
    </row>
    <row r="24" spans="1:22">
      <c r="A24" s="12"/>
      <c r="B24" s="13" t="s">
        <v>9</v>
      </c>
      <c r="C24" s="12">
        <v>0.94898457809659698</v>
      </c>
      <c r="D24" s="36">
        <v>0.94319206492335395</v>
      </c>
      <c r="E24" s="13">
        <v>0.94042838018741604</v>
      </c>
      <c r="F24" s="12">
        <v>0.92693653368776996</v>
      </c>
      <c r="G24" s="36">
        <v>0.919747520288548</v>
      </c>
      <c r="H24" s="14">
        <v>0.91733601070950399</v>
      </c>
      <c r="I24" s="16"/>
      <c r="J24" s="16"/>
      <c r="K24" s="23"/>
      <c r="L24" s="17">
        <f>(L23-I23)/I23</f>
        <v>0</v>
      </c>
      <c r="M24" s="18">
        <f t="shared" ref="M24:N24" si="20">(M23-J23)/J23</f>
        <v>0</v>
      </c>
      <c r="N24" s="19">
        <f t="shared" si="20"/>
        <v>0</v>
      </c>
      <c r="O24" s="20">
        <f>(R23-I23)/I23</f>
        <v>0</v>
      </c>
      <c r="P24" s="21">
        <f t="shared" ref="P24:Q24" si="21">(S23-J23)/J23</f>
        <v>0</v>
      </c>
      <c r="Q24" s="21">
        <f t="shared" si="21"/>
        <v>0</v>
      </c>
      <c r="R24" s="17">
        <f>(R23-O23)/O23</f>
        <v>0</v>
      </c>
      <c r="S24" s="18">
        <f t="shared" ref="S24:T24" si="22">(S23-P23)/P23</f>
        <v>0</v>
      </c>
      <c r="T24" s="19">
        <f t="shared" si="22"/>
        <v>0</v>
      </c>
      <c r="V24" s="31"/>
    </row>
    <row r="25" spans="1:22">
      <c r="A25" s="12"/>
      <c r="B25" s="13" t="s">
        <v>10</v>
      </c>
      <c r="C25" s="12">
        <v>0.97756103281796602</v>
      </c>
      <c r="D25" s="36">
        <v>0.92064923354373296</v>
      </c>
      <c r="E25" s="13">
        <v>0.93072289156626498</v>
      </c>
      <c r="F25" s="46">
        <v>0.97740466370868395</v>
      </c>
      <c r="G25" s="49">
        <v>0.92200180342650995</v>
      </c>
      <c r="H25" s="47">
        <v>0.92704149933065505</v>
      </c>
      <c r="I25" s="45">
        <v>0.97760012509528704</v>
      </c>
      <c r="J25" s="45">
        <v>0.91929666366095497</v>
      </c>
      <c r="K25" s="45">
        <v>0.92704149933065505</v>
      </c>
      <c r="L25" s="1">
        <v>0.97744375598600497</v>
      </c>
      <c r="M25" s="1">
        <v>0.92200180342650995</v>
      </c>
      <c r="N25" s="1">
        <v>0.92704149933065505</v>
      </c>
      <c r="O25" s="1">
        <v>0.97906608549481</v>
      </c>
      <c r="P25" s="1">
        <v>0.94409377817853901</v>
      </c>
      <c r="Q25" s="1">
        <v>0.94076305220883505</v>
      </c>
      <c r="R25" s="12">
        <v>0.97838197064169896</v>
      </c>
      <c r="S25" s="13">
        <v>0.93733092876465196</v>
      </c>
      <c r="T25" s="14">
        <v>0.93741633199464502</v>
      </c>
      <c r="V25" s="31"/>
    </row>
    <row r="26" spans="1:22">
      <c r="A26" s="12"/>
      <c r="B26" s="13" t="s">
        <v>11</v>
      </c>
      <c r="C26" s="12">
        <v>0.96114227634330796</v>
      </c>
      <c r="D26" s="36">
        <v>0.94995491433724</v>
      </c>
      <c r="E26" s="13">
        <v>0.95716198125836605</v>
      </c>
      <c r="F26" s="12">
        <v>0.95072418443736395</v>
      </c>
      <c r="G26" s="36">
        <v>0.94860234445446301</v>
      </c>
      <c r="H26" s="14">
        <v>0.94109772423025395</v>
      </c>
      <c r="I26" s="16"/>
      <c r="J26" s="16"/>
      <c r="K26" s="23"/>
      <c r="L26" s="18">
        <f>(L25-I25)/I25</f>
        <v>-1.5995201439528413E-4</v>
      </c>
      <c r="M26" s="18">
        <f t="shared" ref="M26:N26" si="23">(M25-J25)/J25</f>
        <v>2.9426189308489172E-3</v>
      </c>
      <c r="N26" s="18">
        <f t="shared" si="23"/>
        <v>0</v>
      </c>
      <c r="O26" s="20">
        <f>(R25-I25)/I25</f>
        <v>7.9976007197801063E-4</v>
      </c>
      <c r="P26" s="21">
        <f t="shared" ref="P26:Q26" si="24">(S25-J25)/J25</f>
        <v>1.961745953898968E-2</v>
      </c>
      <c r="Q26" s="21">
        <f t="shared" si="24"/>
        <v>1.1191335740072951E-2</v>
      </c>
      <c r="R26" s="17">
        <f>(R25-O25)/O25</f>
        <v>-6.9874226392521298E-4</v>
      </c>
      <c r="S26" s="18">
        <f t="shared" ref="S26:T26" si="25">(S25-P25)/P25</f>
        <v>-7.1633237822356652E-3</v>
      </c>
      <c r="T26" s="19">
        <f t="shared" si="25"/>
        <v>-3.5574528637494825E-3</v>
      </c>
    </row>
    <row r="27" spans="1:22">
      <c r="A27" s="12"/>
      <c r="B27" s="13" t="s">
        <v>12</v>
      </c>
      <c r="C27" s="12">
        <v>0.96149410683919301</v>
      </c>
      <c r="D27" s="36">
        <v>0.95085662759242495</v>
      </c>
      <c r="E27" s="13">
        <v>0.95615796519410901</v>
      </c>
      <c r="F27" s="12">
        <v>0.95080236899200499</v>
      </c>
      <c r="G27" s="36">
        <v>0.94860234445446301</v>
      </c>
      <c r="H27" s="14">
        <v>0.94109772423025395</v>
      </c>
      <c r="I27" s="13"/>
      <c r="J27" s="13"/>
      <c r="K27" s="14"/>
      <c r="L27" s="12"/>
      <c r="M27" s="13"/>
      <c r="N27" s="13"/>
      <c r="O27" s="12"/>
      <c r="P27" s="13"/>
      <c r="Q27" s="13"/>
      <c r="R27" s="12"/>
      <c r="S27" s="13"/>
      <c r="T27" s="14"/>
      <c r="V27" s="31"/>
    </row>
    <row r="28" spans="1:22">
      <c r="A28" s="12"/>
      <c r="B28" s="13" t="s">
        <v>13</v>
      </c>
      <c r="C28" s="12">
        <v>0.96131819159125098</v>
      </c>
      <c r="D28" s="36">
        <v>0.94995491433724</v>
      </c>
      <c r="E28" s="13">
        <v>0.95649263721552802</v>
      </c>
      <c r="F28" s="12">
        <v>0.95045053849612005</v>
      </c>
      <c r="G28" s="36">
        <v>0.94995491433724</v>
      </c>
      <c r="H28" s="14">
        <v>0.94143239625167296</v>
      </c>
      <c r="I28" s="13"/>
      <c r="J28" s="13" t="s">
        <v>20</v>
      </c>
      <c r="K28" s="14" t="s">
        <v>21</v>
      </c>
      <c r="L28" s="24">
        <f>(O23-I23)/I23</f>
        <v>0</v>
      </c>
      <c r="M28" s="25">
        <f t="shared" ref="M28:N28" si="26">(P23-J23)/J23</f>
        <v>0</v>
      </c>
      <c r="N28" s="25">
        <f t="shared" si="26"/>
        <v>0</v>
      </c>
      <c r="O28" s="12"/>
      <c r="P28" s="13" t="s">
        <v>20</v>
      </c>
      <c r="Q28" s="13" t="s">
        <v>21</v>
      </c>
      <c r="R28" s="24">
        <f>(R23-L23)/L23</f>
        <v>0</v>
      </c>
      <c r="S28" s="25">
        <f t="shared" ref="S28:T28" si="27">(S23-M23)/M23</f>
        <v>0</v>
      </c>
      <c r="T28" s="26">
        <f t="shared" si="27"/>
        <v>0</v>
      </c>
      <c r="V28" s="31"/>
    </row>
    <row r="29" spans="1:22">
      <c r="A29" s="12"/>
      <c r="B29" s="13" t="s">
        <v>14</v>
      </c>
      <c r="C29" s="12">
        <v>0.98661089501768895</v>
      </c>
      <c r="D29" s="36">
        <v>0.97024346257889904</v>
      </c>
      <c r="E29" s="13">
        <v>0.97489959839357399</v>
      </c>
      <c r="F29" s="12">
        <v>0.991262876018842</v>
      </c>
      <c r="G29" s="36">
        <v>0.96528403967538301</v>
      </c>
      <c r="H29" s="14">
        <v>0.96653279785809898</v>
      </c>
      <c r="I29" s="13"/>
      <c r="J29" s="13"/>
      <c r="K29" s="14" t="s">
        <v>10</v>
      </c>
      <c r="L29" s="24">
        <f>(O25-I25)/I25</f>
        <v>1.4995501349593945E-3</v>
      </c>
      <c r="M29" s="25">
        <f t="shared" ref="M29:N29" si="28">(P25-J25)/J25</f>
        <v>2.6974006866111552E-2</v>
      </c>
      <c r="N29" s="25">
        <f t="shared" si="28"/>
        <v>1.4801444043321977E-2</v>
      </c>
      <c r="O29" s="12"/>
      <c r="P29" s="13"/>
      <c r="Q29" s="13" t="s">
        <v>10</v>
      </c>
      <c r="R29" s="27">
        <f>(R25-L25)/L25</f>
        <v>9.5986561881257265E-4</v>
      </c>
      <c r="S29" s="28">
        <f t="shared" ref="S29:T29" si="29">(S25-M25)/M25</f>
        <v>1.6625916870415161E-2</v>
      </c>
      <c r="T29" s="29">
        <f t="shared" si="29"/>
        <v>1.1191335740072951E-2</v>
      </c>
      <c r="V29" s="31"/>
    </row>
    <row r="30" spans="1:22">
      <c r="A30" s="6"/>
      <c r="B30" s="7"/>
      <c r="C30" s="12"/>
      <c r="D30" s="36"/>
      <c r="E30" s="13"/>
      <c r="F30" s="12"/>
      <c r="G30" s="36"/>
      <c r="H30" s="14"/>
      <c r="I30" s="13"/>
      <c r="J30" s="13"/>
      <c r="K30" s="14"/>
      <c r="L30" s="12"/>
      <c r="M30" s="13"/>
      <c r="N30" s="13"/>
      <c r="O30" s="6"/>
      <c r="P30" s="7"/>
      <c r="Q30" s="7"/>
      <c r="R30" s="12"/>
      <c r="S30" s="13"/>
      <c r="T30" s="14"/>
    </row>
    <row r="31" spans="1:22">
      <c r="A31" s="2"/>
      <c r="B31" s="3"/>
      <c r="C31" s="2" t="s">
        <v>0</v>
      </c>
      <c r="D31" s="3"/>
      <c r="E31" s="3"/>
      <c r="F31" s="3" t="s">
        <v>4</v>
      </c>
      <c r="G31" s="3"/>
      <c r="H31" s="4"/>
      <c r="I31" s="3" t="s">
        <v>19</v>
      </c>
      <c r="J31" s="3"/>
      <c r="K31" s="4"/>
      <c r="L31" s="2" t="s">
        <v>5</v>
      </c>
      <c r="M31" s="3"/>
      <c r="N31" s="3"/>
      <c r="O31" s="2" t="s">
        <v>6</v>
      </c>
      <c r="P31" s="3"/>
      <c r="Q31" s="3"/>
      <c r="R31" s="2" t="s">
        <v>7</v>
      </c>
      <c r="S31" s="3"/>
      <c r="T31" s="4"/>
    </row>
    <row r="32" spans="1:22">
      <c r="A32" s="12"/>
      <c r="B32" s="13"/>
      <c r="C32" s="6" t="s">
        <v>1</v>
      </c>
      <c r="D32" s="7" t="s">
        <v>3</v>
      </c>
      <c r="E32" s="7" t="s">
        <v>2</v>
      </c>
      <c r="F32" s="7" t="s">
        <v>1</v>
      </c>
      <c r="G32" s="7" t="s">
        <v>3</v>
      </c>
      <c r="H32" s="8" t="s">
        <v>2</v>
      </c>
      <c r="I32" s="10" t="s">
        <v>1</v>
      </c>
      <c r="J32" s="10" t="s">
        <v>3</v>
      </c>
      <c r="K32" s="11" t="s">
        <v>2</v>
      </c>
      <c r="L32" s="9" t="s">
        <v>1</v>
      </c>
      <c r="M32" s="10" t="s">
        <v>3</v>
      </c>
      <c r="N32" s="10" t="s">
        <v>2</v>
      </c>
      <c r="O32" s="9" t="s">
        <v>1</v>
      </c>
      <c r="P32" s="10" t="s">
        <v>3</v>
      </c>
      <c r="Q32" s="10" t="s">
        <v>2</v>
      </c>
      <c r="R32" s="9" t="s">
        <v>1</v>
      </c>
      <c r="S32" s="10" t="s">
        <v>3</v>
      </c>
      <c r="T32" s="11" t="s">
        <v>2</v>
      </c>
    </row>
    <row r="33" spans="1:20">
      <c r="A33" s="12" t="s">
        <v>18</v>
      </c>
      <c r="B33" s="13" t="s">
        <v>8</v>
      </c>
      <c r="C33" s="12">
        <v>0.85460913045311804</v>
      </c>
      <c r="D33" s="36">
        <v>0.83080110222068604</v>
      </c>
      <c r="E33" s="13">
        <v>0.85326956467469095</v>
      </c>
      <c r="F33" s="12">
        <v>0.85460913045311804</v>
      </c>
      <c r="G33" s="36">
        <v>0.83080110222068604</v>
      </c>
      <c r="H33" s="14">
        <v>0.85326956467469095</v>
      </c>
      <c r="I33" s="45">
        <v>0.85460913045311804</v>
      </c>
      <c r="J33" s="45">
        <v>0.83080110222068604</v>
      </c>
      <c r="K33" s="45">
        <v>0.85326956467469095</v>
      </c>
      <c r="L33" s="1">
        <v>0.85460913045311804</v>
      </c>
      <c r="M33" s="1">
        <v>0.83080110222068604</v>
      </c>
      <c r="N33" s="1">
        <v>0.85326956467469095</v>
      </c>
      <c r="O33" s="1">
        <v>0.85460913045311804</v>
      </c>
      <c r="P33" s="1">
        <v>0.83080110222068604</v>
      </c>
      <c r="Q33" s="1">
        <v>0.85326956467469095</v>
      </c>
      <c r="R33" s="12">
        <v>0.85460913045311804</v>
      </c>
      <c r="S33" s="13">
        <v>0.83080110222068604</v>
      </c>
      <c r="T33" s="14">
        <v>0.85326956467469095</v>
      </c>
    </row>
    <row r="34" spans="1:20">
      <c r="A34" s="12"/>
      <c r="B34" s="13" t="s">
        <v>9</v>
      </c>
      <c r="C34" s="12">
        <v>0.94936225668620899</v>
      </c>
      <c r="D34" s="36">
        <v>0.943351611528085</v>
      </c>
      <c r="E34" s="13">
        <v>0.94058562604430895</v>
      </c>
      <c r="F34" s="12">
        <v>0.92837797355427298</v>
      </c>
      <c r="G34" s="36">
        <v>0.92107677322085002</v>
      </c>
      <c r="H34" s="14">
        <v>0.91872079056729405</v>
      </c>
      <c r="I34" s="16"/>
      <c r="J34" s="16"/>
      <c r="K34" s="23"/>
      <c r="L34" s="17">
        <f>(L33-I33)/I33</f>
        <v>0</v>
      </c>
      <c r="M34" s="18">
        <f t="shared" ref="M34:N34" si="30">(M33-J33)/J33</f>
        <v>0</v>
      </c>
      <c r="N34" s="18">
        <f t="shared" si="30"/>
        <v>0</v>
      </c>
      <c r="O34" s="20">
        <f>(R33-I33)/I33</f>
        <v>0</v>
      </c>
      <c r="P34" s="21">
        <f t="shared" ref="P34:Q34" si="31">(S33-J33)/J33</f>
        <v>0</v>
      </c>
      <c r="Q34" s="21">
        <f t="shared" si="31"/>
        <v>0</v>
      </c>
      <c r="R34" s="17">
        <f>(R33-O33)/O33</f>
        <v>0</v>
      </c>
      <c r="S34" s="18">
        <f t="shared" ref="S34:T34" si="32">(S33-P33)/P33</f>
        <v>0</v>
      </c>
      <c r="T34" s="19">
        <f t="shared" si="32"/>
        <v>0</v>
      </c>
    </row>
    <row r="35" spans="1:20">
      <c r="A35" s="12"/>
      <c r="B35" s="13" t="s">
        <v>10</v>
      </c>
      <c r="C35" s="12">
        <v>0.97753448647771501</v>
      </c>
      <c r="D35" s="36">
        <v>0.91879327266913602</v>
      </c>
      <c r="E35" s="13">
        <v>0.92974948044038797</v>
      </c>
      <c r="F35" s="46">
        <v>0.97738580991399204</v>
      </c>
      <c r="G35" s="48">
        <v>0.92045055805334097</v>
      </c>
      <c r="H35" s="47">
        <v>0.92605593670169395</v>
      </c>
      <c r="I35" s="45">
        <v>0.97757500567713296</v>
      </c>
      <c r="J35" s="45">
        <v>0.91734237584154299</v>
      </c>
      <c r="K35" s="45">
        <v>0.92610830446216397</v>
      </c>
      <c r="L35" s="1">
        <v>0.977425857658479</v>
      </c>
      <c r="M35" s="1">
        <v>0.92045055805334097</v>
      </c>
      <c r="N35" s="1">
        <v>0.92608217756461897</v>
      </c>
      <c r="O35" s="1">
        <v>0.979046689288814</v>
      </c>
      <c r="P35" s="1">
        <v>0.94352707174688499</v>
      </c>
      <c r="Q35" s="1">
        <v>0.94070042782125896</v>
      </c>
      <c r="R35" s="12">
        <v>0.97836923209617499</v>
      </c>
      <c r="S35" s="13">
        <v>0.93676908546100901</v>
      </c>
      <c r="T35" s="14">
        <v>0.93723420897101795</v>
      </c>
    </row>
    <row r="36" spans="1:20">
      <c r="A36" s="12"/>
      <c r="B36" s="13" t="s">
        <v>11</v>
      </c>
      <c r="C36" s="12">
        <v>0.96128574728358196</v>
      </c>
      <c r="D36" s="36">
        <v>0.94986122017626096</v>
      </c>
      <c r="E36" s="13">
        <v>0.95718752771541704</v>
      </c>
      <c r="F36" s="12">
        <v>0.95117805125611898</v>
      </c>
      <c r="G36" s="36">
        <v>0.94899800869534601</v>
      </c>
      <c r="H36" s="14">
        <v>0.94143432000816796</v>
      </c>
      <c r="I36" s="16"/>
      <c r="J36" s="16"/>
      <c r="K36" s="23"/>
      <c r="L36" s="18">
        <f>(L35-I35)/I35</f>
        <v>-1.5256938627501563E-4</v>
      </c>
      <c r="M36" s="18">
        <f t="shared" ref="M36:N36" si="33">(M35-J35)/J35</f>
        <v>3.388246628143203E-3</v>
      </c>
      <c r="N36" s="18">
        <f t="shared" si="33"/>
        <v>-2.8211492564221342E-5</v>
      </c>
      <c r="O36" s="20">
        <f>(R35-I35)/I35</f>
        <v>8.1244550487652727E-4</v>
      </c>
      <c r="P36" s="21">
        <f t="shared" ref="P36:Q36" si="34">(S35-J35)/J35</f>
        <v>2.1177163653477282E-2</v>
      </c>
      <c r="Q36" s="21">
        <f t="shared" si="34"/>
        <v>1.2013610562876155E-2</v>
      </c>
      <c r="R36" s="17">
        <f>(R35-O35)/O35</f>
        <v>-6.9195596088590802E-4</v>
      </c>
      <c r="S36" s="18">
        <f t="shared" ref="S36:T36" si="35">(S35-P35)/P35</f>
        <v>-7.162472056433917E-3</v>
      </c>
      <c r="T36" s="19">
        <f t="shared" si="35"/>
        <v>-3.6847212435834253E-3</v>
      </c>
    </row>
    <row r="37" spans="1:20">
      <c r="A37" s="12"/>
      <c r="B37" s="13" t="s">
        <v>12</v>
      </c>
      <c r="C37" s="12">
        <v>0.96166136864738005</v>
      </c>
      <c r="D37" s="36">
        <v>0.95076462161452602</v>
      </c>
      <c r="E37" s="13">
        <v>0.95620355795059397</v>
      </c>
      <c r="F37" s="12">
        <v>0.95125638803248302</v>
      </c>
      <c r="G37" s="36">
        <v>0.94899800869534601</v>
      </c>
      <c r="H37" s="14">
        <v>0.94143432000816796</v>
      </c>
      <c r="I37" s="13"/>
      <c r="J37" s="13"/>
      <c r="K37" s="14"/>
      <c r="L37" s="12"/>
      <c r="M37" s="13"/>
      <c r="N37" s="13"/>
      <c r="O37" s="12"/>
      <c r="P37" s="13"/>
      <c r="Q37" s="13"/>
      <c r="R37" s="12"/>
      <c r="S37" s="13"/>
      <c r="T37" s="14"/>
    </row>
    <row r="38" spans="1:20">
      <c r="A38" s="12"/>
      <c r="B38" s="13" t="s">
        <v>13</v>
      </c>
      <c r="C38" s="12">
        <v>0.96149616091460399</v>
      </c>
      <c r="D38" s="36">
        <v>0.949903188057582</v>
      </c>
      <c r="E38" s="13">
        <v>0.95654428457034102</v>
      </c>
      <c r="F38" s="12">
        <v>0.95089018560173999</v>
      </c>
      <c r="G38" s="36">
        <v>0.95031299363403099</v>
      </c>
      <c r="H38" s="14">
        <v>0.94177503748175995</v>
      </c>
      <c r="I38" s="13"/>
      <c r="J38" s="13" t="s">
        <v>20</v>
      </c>
      <c r="K38" s="14" t="s">
        <v>21</v>
      </c>
      <c r="L38" s="24">
        <f>(O33-I33)/I33</f>
        <v>0</v>
      </c>
      <c r="M38" s="25">
        <f t="shared" ref="M38:N38" si="36">(P33-J33)/J33</f>
        <v>0</v>
      </c>
      <c r="N38" s="25">
        <f t="shared" si="36"/>
        <v>0</v>
      </c>
      <c r="O38" s="12"/>
      <c r="P38" s="13" t="s">
        <v>20</v>
      </c>
      <c r="Q38" s="13" t="s">
        <v>21</v>
      </c>
      <c r="R38" s="24">
        <f>(R33-L33)/L33</f>
        <v>0</v>
      </c>
      <c r="S38" s="25">
        <f t="shared" ref="S38:T38" si="37">(S33-M33)/M33</f>
        <v>0</v>
      </c>
      <c r="T38" s="26">
        <f t="shared" si="37"/>
        <v>0</v>
      </c>
    </row>
    <row r="39" spans="1:20">
      <c r="A39" s="6"/>
      <c r="B39" s="7" t="s">
        <v>14</v>
      </c>
      <c r="C39" s="6">
        <v>0.98663380508421905</v>
      </c>
      <c r="D39" s="37">
        <v>0.97024346257889904</v>
      </c>
      <c r="E39" s="7">
        <v>0.974857703473752</v>
      </c>
      <c r="F39" s="6">
        <v>0.991271921783071</v>
      </c>
      <c r="G39" s="37">
        <v>0.96523364646699295</v>
      </c>
      <c r="H39" s="8">
        <v>0.966502506817559</v>
      </c>
      <c r="I39" s="7"/>
      <c r="J39" s="7"/>
      <c r="K39" s="8" t="s">
        <v>10</v>
      </c>
      <c r="L39" s="27">
        <f>(O35-I35)/I35</f>
        <v>1.5054431661350174E-3</v>
      </c>
      <c r="M39" s="28">
        <f t="shared" ref="M39:N39" si="38">(P35-J35)/J35</f>
        <v>2.8544081898888549E-2</v>
      </c>
      <c r="N39" s="28">
        <f t="shared" si="38"/>
        <v>1.5756389710347478E-2</v>
      </c>
      <c r="O39" s="6"/>
      <c r="P39" s="7"/>
      <c r="Q39" s="7" t="s">
        <v>10</v>
      </c>
      <c r="R39" s="27">
        <f>(R35-L35)/L35</f>
        <v>9.6516214534771443E-4</v>
      </c>
      <c r="S39" s="28">
        <f t="shared" ref="S39:T39" si="39">(S35-M35)/M35</f>
        <v>1.7728847318187364E-2</v>
      </c>
      <c r="T39" s="29">
        <f t="shared" si="39"/>
        <v>1.2042161782797968E-2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14B2-2996-7B43-9364-E2A7B470F655}">
  <dimension ref="A1:T39"/>
  <sheetViews>
    <sheetView tabSelected="1" workbookViewId="0">
      <selection activeCell="F25" sqref="F25"/>
    </sheetView>
  </sheetViews>
  <sheetFormatPr baseColWidth="10" defaultRowHeight="16"/>
  <sheetData>
    <row r="1" spans="1:20">
      <c r="A1" s="1"/>
      <c r="B1" s="1"/>
      <c r="C1" s="2" t="s">
        <v>0</v>
      </c>
      <c r="D1" s="3"/>
      <c r="E1" s="4"/>
      <c r="F1" s="2" t="s">
        <v>4</v>
      </c>
      <c r="G1" s="3"/>
      <c r="H1" s="4"/>
      <c r="I1" s="2" t="s">
        <v>19</v>
      </c>
      <c r="J1" s="3"/>
      <c r="K1" s="4"/>
      <c r="L1" s="2" t="s">
        <v>5</v>
      </c>
      <c r="M1" s="3"/>
      <c r="N1" s="3"/>
      <c r="O1" s="2" t="s">
        <v>6</v>
      </c>
      <c r="P1" s="3"/>
      <c r="Q1" s="4"/>
      <c r="R1" s="3" t="s">
        <v>7</v>
      </c>
      <c r="S1" s="3"/>
      <c r="T1" s="4"/>
    </row>
    <row r="2" spans="1:20">
      <c r="A2" s="1"/>
      <c r="B2" s="1"/>
      <c r="C2" s="6" t="s">
        <v>1</v>
      </c>
      <c r="D2" s="7" t="s">
        <v>3</v>
      </c>
      <c r="E2" s="8" t="s">
        <v>2</v>
      </c>
      <c r="F2" s="6" t="s">
        <v>1</v>
      </c>
      <c r="G2" s="7" t="s">
        <v>3</v>
      </c>
      <c r="H2" s="8" t="s">
        <v>2</v>
      </c>
      <c r="I2" s="32" t="s">
        <v>1</v>
      </c>
      <c r="J2" s="33" t="s">
        <v>3</v>
      </c>
      <c r="K2" s="34" t="s">
        <v>2</v>
      </c>
      <c r="L2" s="32" t="s">
        <v>1</v>
      </c>
      <c r="M2" s="33" t="s">
        <v>3</v>
      </c>
      <c r="N2" s="33" t="s">
        <v>2</v>
      </c>
      <c r="O2" s="32" t="s">
        <v>1</v>
      </c>
      <c r="P2" s="33" t="s">
        <v>3</v>
      </c>
      <c r="Q2" s="34" t="s">
        <v>2</v>
      </c>
      <c r="R2" s="33" t="s">
        <v>1</v>
      </c>
      <c r="S2" s="33" t="s">
        <v>3</v>
      </c>
      <c r="T2" s="34" t="s">
        <v>2</v>
      </c>
    </row>
    <row r="3" spans="1:20">
      <c r="A3" s="2" t="s">
        <v>15</v>
      </c>
      <c r="B3" s="4" t="s">
        <v>8</v>
      </c>
      <c r="C3" s="12">
        <f>'With class weights'!C3-'Without class weights'!C3</f>
        <v>-1.3056820625084953E-2</v>
      </c>
      <c r="D3" s="12">
        <f>'With class weights'!D3-'Without class weights'!D3</f>
        <v>-7.2137060414779741E-3</v>
      </c>
      <c r="E3" s="12">
        <f>'With class weights'!E3-'Without class weights'!E3</f>
        <v>-1.6064257028112983E-2</v>
      </c>
      <c r="F3" s="12">
        <f>'With class weights'!F3-'Without class weights'!F3</f>
        <v>-1.3056820625084953E-2</v>
      </c>
      <c r="G3" s="12">
        <f>'With class weights'!G3-'Without class weights'!G3</f>
        <v>-7.2137060414779741E-3</v>
      </c>
      <c r="H3" s="12">
        <f>'With class weights'!H3-'Without class weights'!H3</f>
        <v>-1.6064257028112983E-2</v>
      </c>
      <c r="I3" s="38">
        <f>'With class weights'!I3-'Without class weights'!I3</f>
        <v>-1.3056820625084953E-2</v>
      </c>
      <c r="J3" s="39">
        <f>'With class weights'!J3-'Without class weights'!J3</f>
        <v>-7.2137060414779741E-3</v>
      </c>
      <c r="K3" s="39">
        <f>'With class weights'!K3-'Without class weights'!K3</f>
        <v>-1.6064257028112983E-2</v>
      </c>
      <c r="L3" s="38">
        <f>'With class weights'!L3-'Without class weights'!L3</f>
        <v>-1.3056820625084953E-2</v>
      </c>
      <c r="M3" s="39">
        <f>'With class weights'!M3-'Without class weights'!M3</f>
        <v>-7.2137060414779741E-3</v>
      </c>
      <c r="N3" s="40">
        <f>'With class weights'!N3-'Without class weights'!N3</f>
        <v>-1.6064257028112983E-2</v>
      </c>
      <c r="O3" s="39">
        <f>'With class weights'!O3-'Without class weights'!O3</f>
        <v>-1.3056820625084953E-2</v>
      </c>
      <c r="P3" s="39">
        <f>'With class weights'!P3-'Without class weights'!P3</f>
        <v>-7.2137060414779741E-3</v>
      </c>
      <c r="Q3" s="39">
        <f>'With class weights'!Q3-'Without class weights'!Q3</f>
        <v>-1.6064257028112983E-2</v>
      </c>
      <c r="R3" s="38">
        <f>'With class weights'!R3-'Without class weights'!R3</f>
        <v>-1.3056820625084953E-2</v>
      </c>
      <c r="S3" s="39">
        <f>'With class weights'!S3-'Without class weights'!S3</f>
        <v>-7.2137060414779741E-3</v>
      </c>
      <c r="T3" s="40">
        <f>'With class weights'!T3-'Without class weights'!T3</f>
        <v>-1.6064257028112983E-2</v>
      </c>
    </row>
    <row r="4" spans="1:20">
      <c r="A4" s="12"/>
      <c r="B4" s="14" t="s">
        <v>9</v>
      </c>
      <c r="C4" s="12">
        <f>'With class weights'!C4-'Without class weights'!C4</f>
        <v>-7.5643556615390128E-3</v>
      </c>
      <c r="D4" s="12">
        <f>'With class weights'!D4-'Without class weights'!D4</f>
        <v>-8.5662759242559616E-3</v>
      </c>
      <c r="E4" s="12">
        <f>'With class weights'!E4-'Without class weights'!E4</f>
        <v>-5.0200803212849809E-3</v>
      </c>
      <c r="F4" s="12">
        <f>'With class weights'!F4-'Without class weights'!F4</f>
        <v>-1.2314067355993941E-2</v>
      </c>
      <c r="G4" s="12">
        <f>'With class weights'!G4-'Without class weights'!G4</f>
        <v>-1.3074842200180958E-2</v>
      </c>
      <c r="H4" s="12">
        <f>'With class weights'!H4-'Without class weights'!H4</f>
        <v>-1.3721552878179E-2</v>
      </c>
      <c r="I4" s="15"/>
      <c r="J4" s="16"/>
      <c r="K4" s="16"/>
      <c r="L4" s="17">
        <f>(L3-I3)/I3</f>
        <v>0</v>
      </c>
      <c r="M4" s="18">
        <f t="shared" ref="M4:N4" si="0">(M3-J3)/J3</f>
        <v>0</v>
      </c>
      <c r="N4" s="19">
        <f t="shared" si="0"/>
        <v>0</v>
      </c>
      <c r="O4" s="21">
        <f>(R3-I3)/I3</f>
        <v>0</v>
      </c>
      <c r="P4" s="21">
        <f t="shared" ref="P4:Q4" si="1">(S3-J3)/J3</f>
        <v>0</v>
      </c>
      <c r="Q4" s="21">
        <f t="shared" si="1"/>
        <v>0</v>
      </c>
      <c r="R4" s="17">
        <f>(R3-O3)/O3</f>
        <v>0</v>
      </c>
      <c r="S4" s="18">
        <f t="shared" ref="S4:T4" si="2">(S3-P3)/P3</f>
        <v>0</v>
      </c>
      <c r="T4" s="19">
        <f t="shared" si="2"/>
        <v>0</v>
      </c>
    </row>
    <row r="5" spans="1:20">
      <c r="A5" s="12"/>
      <c r="B5" s="14" t="s">
        <v>10</v>
      </c>
      <c r="C5" s="12">
        <f>'With class weights'!C5-'Without class weights'!C5</f>
        <v>1.42686812220294E-3</v>
      </c>
      <c r="D5" s="12">
        <f>'With class weights'!D5-'Without class weights'!D5</f>
        <v>-8.5662759242559616E-3</v>
      </c>
      <c r="E5" s="12">
        <f>'With class weights'!E5-'Without class weights'!E5</f>
        <v>-4.0160642570289395E-3</v>
      </c>
      <c r="F5" s="12">
        <f>'With class weights'!F5-'Without class weights'!F5</f>
        <v>1.0359453489960924E-3</v>
      </c>
      <c r="G5" s="12">
        <f>'With class weights'!G5-'Without class weights'!G5</f>
        <v>-8.5662759242559616E-3</v>
      </c>
      <c r="H5" s="12">
        <f>'With class weights'!H5-'Without class weights'!H5</f>
        <v>-1.3386880856760541E-3</v>
      </c>
      <c r="I5" s="12">
        <f>'With class weights'!I5-'Without class weights'!I5</f>
        <v>1.0554914876569343E-3</v>
      </c>
      <c r="J5" s="41">
        <f>'With class weights'!J5-'Without class weights'!J5</f>
        <v>-8.115419296662929E-3</v>
      </c>
      <c r="K5" s="41">
        <f>'With class weights'!K5-'Without class weights'!K5</f>
        <v>-3.3467202141900243E-3</v>
      </c>
      <c r="L5" s="12">
        <f>'With class weights'!L5-'Without class weights'!L5</f>
        <v>9.773069330150097E-4</v>
      </c>
      <c r="M5" s="41">
        <f>'With class weights'!M5-'Without class weights'!M5</f>
        <v>-9.0171325518489942E-3</v>
      </c>
      <c r="N5" s="42">
        <f>'With class weights'!N5-'Without class weights'!N5</f>
        <v>-1.6733601070950677E-3</v>
      </c>
      <c r="O5" s="13">
        <f>'With class weights'!O5-'Without class weights'!O5</f>
        <v>2.1696213912939522E-3</v>
      </c>
      <c r="P5" s="41">
        <f>'With class weights'!P5-'Without class weights'!P5</f>
        <v>-6.3119927862940184E-3</v>
      </c>
      <c r="Q5" s="41">
        <f>'With class weights'!Q5-'Without class weights'!Q5</f>
        <v>-3.3467202141901353E-4</v>
      </c>
      <c r="R5" s="12">
        <f>'With class weights'!R5-'Without class weights'!R5</f>
        <v>1.9937061433520364E-3</v>
      </c>
      <c r="S5" s="41">
        <f>'With class weights'!S5-'Without class weights'!S5</f>
        <v>-5.8611361587009858E-3</v>
      </c>
      <c r="T5" s="42">
        <f>'With class weights'!T5-'Without class weights'!T5</f>
        <v>6.6934404283802706E-4</v>
      </c>
    </row>
    <row r="6" spans="1:20">
      <c r="A6" s="12"/>
      <c r="B6" s="14" t="s">
        <v>11</v>
      </c>
      <c r="C6" s="12">
        <f>'With class weights'!C6-'Without class weights'!C6</f>
        <v>-7.4666249682379116E-3</v>
      </c>
      <c r="D6" s="12">
        <f>'With class weights'!D6-'Without class weights'!D6</f>
        <v>-9.4679891794410276E-3</v>
      </c>
      <c r="E6" s="12">
        <f>'With class weights'!E6-'Without class weights'!E6</f>
        <v>-5.3547523427039945E-3</v>
      </c>
      <c r="F6" s="12">
        <f>'With class weights'!F6-'Without class weights'!F6</f>
        <v>-1.3565020230253966E-2</v>
      </c>
      <c r="G6" s="12">
        <f>'With class weights'!G6-'Without class weights'!G6</f>
        <v>-2.8403967538322972E-2</v>
      </c>
      <c r="H6" s="12">
        <f>'With class weights'!H6-'Without class weights'!H6</f>
        <v>-1.4056224899598901E-2</v>
      </c>
      <c r="I6" s="15"/>
      <c r="J6" s="16"/>
      <c r="K6" s="16"/>
      <c r="L6" s="17">
        <f>(L5-I5)/I5</f>
        <v>-7.4074074074709076E-2</v>
      </c>
      <c r="M6" s="18">
        <f t="shared" ref="M6:N6" si="3">(M5-J5)/J5</f>
        <v>0.11111111111127071</v>
      </c>
      <c r="N6" s="19">
        <f t="shared" si="3"/>
        <v>-0.4999999999999834</v>
      </c>
      <c r="O6" s="21">
        <f>(R5-I5)/I5</f>
        <v>0.88888888888893569</v>
      </c>
      <c r="P6" s="21">
        <f t="shared" ref="P6:Q6" si="4">(S5-J5)/J5</f>
        <v>-0.27777777777778007</v>
      </c>
      <c r="Q6" s="21">
        <f t="shared" si="4"/>
        <v>-1.2000000000000066</v>
      </c>
      <c r="R6" s="17">
        <f>(R5-O5)/O5</f>
        <v>-8.1081081080695228E-2</v>
      </c>
      <c r="S6" s="18">
        <f t="shared" ref="S6:T6" si="5">(S5-P5)/P5</f>
        <v>-7.1428571428666918E-2</v>
      </c>
      <c r="T6" s="19">
        <f t="shared" si="5"/>
        <v>-3</v>
      </c>
    </row>
    <row r="7" spans="1:20">
      <c r="A7" s="12"/>
      <c r="B7" s="14" t="s">
        <v>12</v>
      </c>
      <c r="C7" s="12">
        <f>'With class weights'!C7-'Without class weights'!C7</f>
        <v>-8.1702859600080169E-3</v>
      </c>
      <c r="D7" s="12">
        <f>'With class weights'!D7-'Without class weights'!D7</f>
        <v>-1.0369702434625983E-2</v>
      </c>
      <c r="E7" s="12">
        <f>'With class weights'!E7-'Without class weights'!E7</f>
        <v>-4.6854082998659674E-3</v>
      </c>
      <c r="F7" s="12">
        <f>'With class weights'!F7-'Without class weights'!F7</f>
        <v>-1.3643204784895002E-2</v>
      </c>
      <c r="G7" s="12">
        <f>'With class weights'!G7-'Without class weights'!G7</f>
        <v>-2.8403967538322972E-2</v>
      </c>
      <c r="H7" s="12">
        <f>'With class weights'!H7-'Without class weights'!H7</f>
        <v>-1.4056224899598901E-2</v>
      </c>
      <c r="I7" s="12"/>
      <c r="J7" s="13"/>
      <c r="K7" s="13"/>
      <c r="L7" s="12"/>
      <c r="M7" s="13"/>
      <c r="N7" s="14"/>
      <c r="O7" s="13"/>
      <c r="P7" s="13"/>
      <c r="Q7" s="13"/>
      <c r="R7" s="12"/>
      <c r="S7" s="13"/>
      <c r="T7" s="14"/>
    </row>
    <row r="8" spans="1:20">
      <c r="A8" s="12"/>
      <c r="B8" s="14" t="s">
        <v>13</v>
      </c>
      <c r="C8" s="12">
        <f>'With class weights'!C8-'Without class weights'!C8</f>
        <v>-7.8966400187649999E-3</v>
      </c>
      <c r="D8" s="12">
        <f>'With class weights'!D8-'Without class weights'!D8</f>
        <v>-9.9188458070329499E-3</v>
      </c>
      <c r="E8" s="12">
        <f>'With class weights'!E8-'Without class weights'!E8</f>
        <v>-4.6854082998659674E-3</v>
      </c>
      <c r="F8" s="12">
        <f>'With class weights'!F8-'Without class weights'!F8</f>
        <v>-1.3291374289010061E-2</v>
      </c>
      <c r="G8" s="12">
        <f>'With class weights'!G8-'Without class weights'!G8</f>
        <v>-2.975653742109996E-2</v>
      </c>
      <c r="H8" s="12">
        <f>'With class weights'!H8-'Without class weights'!H8</f>
        <v>-1.4390896921017915E-2</v>
      </c>
      <c r="I8" s="12"/>
      <c r="J8" s="13" t="s">
        <v>20</v>
      </c>
      <c r="K8" s="13" t="s">
        <v>21</v>
      </c>
      <c r="L8" s="24">
        <f>(O3-I3)/I3</f>
        <v>0</v>
      </c>
      <c r="M8" s="25">
        <f t="shared" ref="M8:N8" si="6">(P3-J3)/J3</f>
        <v>0</v>
      </c>
      <c r="N8" s="26">
        <f t="shared" si="6"/>
        <v>0</v>
      </c>
      <c r="O8" s="13"/>
      <c r="P8" s="13" t="s">
        <v>20</v>
      </c>
      <c r="Q8" s="13" t="s">
        <v>21</v>
      </c>
      <c r="R8" s="24">
        <f>(R3-L3)/L3</f>
        <v>0</v>
      </c>
      <c r="S8" s="25">
        <f t="shared" ref="S8:T8" si="7">(S3-M3)/M3</f>
        <v>0</v>
      </c>
      <c r="T8" s="26">
        <f t="shared" si="7"/>
        <v>0</v>
      </c>
    </row>
    <row r="9" spans="1:20">
      <c r="A9" s="12"/>
      <c r="B9" s="14" t="s">
        <v>14</v>
      </c>
      <c r="C9" s="12">
        <f>'With class weights'!C9-'Without class weights'!C9</f>
        <v>5.3360958542640891E-3</v>
      </c>
      <c r="D9" s="12">
        <f>'With class weights'!D9-'Without class weights'!D9</f>
        <v>-2.2542831379620543E-3</v>
      </c>
      <c r="E9" s="12">
        <f>'With class weights'!E9-'Without class weights'!E9</f>
        <v>-3.0120481927710108E-3</v>
      </c>
      <c r="F9" s="12">
        <f>'With class weights'!F9-'Without class weights'!F9</f>
        <v>-5.6683802114889659E-3</v>
      </c>
      <c r="G9" s="12">
        <f>'With class weights'!G9-'Without class weights'!G9</f>
        <v>-4.0577096483319641E-3</v>
      </c>
      <c r="H9" s="12">
        <f>'With class weights'!H9-'Without class weights'!H9</f>
        <v>-6.6934404283802706E-4</v>
      </c>
      <c r="I9" s="12"/>
      <c r="J9" s="13"/>
      <c r="K9" s="13" t="s">
        <v>10</v>
      </c>
      <c r="L9" s="24">
        <f>(O5-I5)/I5</f>
        <v>1.0555555555547433</v>
      </c>
      <c r="M9" s="25">
        <f t="shared" ref="M9:N9" si="8">(P5-J5)/J5</f>
        <v>-0.22222222222214469</v>
      </c>
      <c r="N9" s="26">
        <f t="shared" si="8"/>
        <v>-0.89999999999999669</v>
      </c>
      <c r="O9" s="13"/>
      <c r="P9" s="13"/>
      <c r="Q9" s="13" t="s">
        <v>10</v>
      </c>
      <c r="R9" s="24">
        <f>(R5-L5)/L5</f>
        <v>1.0400000000014495</v>
      </c>
      <c r="S9" s="25">
        <f t="shared" ref="S9:T9" si="9">(S5-M5)/M5</f>
        <v>-0.3500000000000954</v>
      </c>
      <c r="T9" s="26">
        <f t="shared" si="9"/>
        <v>-1.4</v>
      </c>
    </row>
    <row r="10" spans="1:20">
      <c r="A10" s="6"/>
      <c r="B10" s="8"/>
      <c r="C10" s="12"/>
      <c r="D10" s="13"/>
      <c r="E10" s="14"/>
      <c r="F10" s="12"/>
      <c r="G10" s="13"/>
      <c r="H10" s="13"/>
      <c r="I10" s="12"/>
      <c r="J10" s="13"/>
      <c r="K10" s="13"/>
      <c r="L10" s="12"/>
      <c r="M10" s="13"/>
      <c r="N10" s="14"/>
      <c r="O10" s="13"/>
      <c r="P10" s="13"/>
      <c r="Q10" s="13"/>
      <c r="R10" s="12"/>
      <c r="S10" s="13"/>
      <c r="T10" s="14"/>
    </row>
    <row r="11" spans="1:20">
      <c r="A11" s="2"/>
      <c r="B11" s="4"/>
      <c r="C11" s="2" t="s">
        <v>0</v>
      </c>
      <c r="D11" s="3"/>
      <c r="E11" s="4"/>
      <c r="F11" s="2" t="s">
        <v>4</v>
      </c>
      <c r="G11" s="3"/>
      <c r="H11" s="3"/>
      <c r="I11" s="2" t="s">
        <v>19</v>
      </c>
      <c r="J11" s="3"/>
      <c r="K11" s="3"/>
      <c r="L11" s="2" t="s">
        <v>5</v>
      </c>
      <c r="M11" s="3"/>
      <c r="N11" s="4"/>
      <c r="O11" s="3" t="s">
        <v>6</v>
      </c>
      <c r="P11" s="3"/>
      <c r="Q11" s="3"/>
      <c r="R11" s="2" t="s">
        <v>7</v>
      </c>
      <c r="S11" s="3"/>
      <c r="T11" s="4"/>
    </row>
    <row r="12" spans="1:20">
      <c r="A12" s="12"/>
      <c r="B12" s="14"/>
      <c r="C12" s="6" t="s">
        <v>1</v>
      </c>
      <c r="D12" s="7" t="s">
        <v>3</v>
      </c>
      <c r="E12" s="8" t="s">
        <v>2</v>
      </c>
      <c r="F12" s="6" t="s">
        <v>1</v>
      </c>
      <c r="G12" s="7" t="s">
        <v>3</v>
      </c>
      <c r="H12" s="7" t="s">
        <v>2</v>
      </c>
      <c r="I12" s="9" t="s">
        <v>1</v>
      </c>
      <c r="J12" s="10" t="s">
        <v>3</v>
      </c>
      <c r="K12" s="10" t="s">
        <v>2</v>
      </c>
      <c r="L12" s="9" t="s">
        <v>1</v>
      </c>
      <c r="M12" s="10" t="s">
        <v>3</v>
      </c>
      <c r="N12" s="11" t="s">
        <v>2</v>
      </c>
      <c r="O12" s="10" t="s">
        <v>1</v>
      </c>
      <c r="P12" s="10" t="s">
        <v>3</v>
      </c>
      <c r="Q12" s="10" t="s">
        <v>2</v>
      </c>
      <c r="R12" s="9" t="s">
        <v>1</v>
      </c>
      <c r="S12" s="10" t="s">
        <v>3</v>
      </c>
      <c r="T12" s="11" t="s">
        <v>2</v>
      </c>
    </row>
    <row r="13" spans="1:20">
      <c r="A13" s="12" t="s">
        <v>16</v>
      </c>
      <c r="B13" s="14" t="s">
        <v>8</v>
      </c>
      <c r="C13" s="12">
        <f>'With class weights'!C13-'Without class weights'!C13</f>
        <v>-3.1236873160952028E-2</v>
      </c>
      <c r="D13" s="12">
        <f>'With class weights'!D13-'Without class weights'!D13</f>
        <v>-3.1009202224870025E-2</v>
      </c>
      <c r="E13" s="12">
        <f>'With class weights'!E13-'Without class weights'!E13</f>
        <v>-3.4570892889285054E-2</v>
      </c>
      <c r="F13" s="12">
        <f>'With class weights'!F13-'Without class weights'!F13</f>
        <v>-3.1236873160952028E-2</v>
      </c>
      <c r="G13" s="12">
        <f>'With class weights'!G13-'Without class weights'!G13</f>
        <v>-3.1009202224870025E-2</v>
      </c>
      <c r="H13" s="12">
        <f>'With class weights'!H13-'Without class weights'!H13</f>
        <v>-3.4570892889285054E-2</v>
      </c>
      <c r="I13" s="43">
        <f>'With class weights'!I13-'Without class weights'!I13</f>
        <v>-3.1236873160952028E-2</v>
      </c>
      <c r="J13" s="41">
        <f>'With class weights'!J13-'Without class weights'!J13</f>
        <v>-3.1009202224870025E-2</v>
      </c>
      <c r="K13" s="41">
        <f>'With class weights'!K13-'Without class weights'!K13</f>
        <v>-3.4570892889285054E-2</v>
      </c>
      <c r="L13" s="43">
        <f>'With class weights'!L13-'Without class weights'!L13</f>
        <v>-3.1236873160952028E-2</v>
      </c>
      <c r="M13" s="41">
        <f>'With class weights'!M13-'Without class weights'!M13</f>
        <v>-3.1009202224870025E-2</v>
      </c>
      <c r="N13" s="42">
        <f>'With class weights'!N13-'Without class weights'!N13</f>
        <v>-3.4570892889285054E-2</v>
      </c>
      <c r="O13" s="41">
        <f>'With class weights'!O13-'Without class weights'!O13</f>
        <v>-3.1236873160952028E-2</v>
      </c>
      <c r="P13" s="41">
        <f>'With class weights'!P13-'Without class weights'!P13</f>
        <v>-3.1009202224870025E-2</v>
      </c>
      <c r="Q13" s="41">
        <f>'With class weights'!Q13-'Without class weights'!Q13</f>
        <v>-3.4570892889285054E-2</v>
      </c>
      <c r="R13" s="43">
        <f>'With class weights'!R13-'Without class weights'!R13</f>
        <v>-3.1236873160952028E-2</v>
      </c>
      <c r="S13" s="41">
        <f>'With class weights'!S13-'Without class weights'!S13</f>
        <v>-3.1009202224870025E-2</v>
      </c>
      <c r="T13" s="42">
        <f>'With class weights'!T13-'Without class weights'!T13</f>
        <v>-3.4570892889285054E-2</v>
      </c>
    </row>
    <row r="14" spans="1:20">
      <c r="A14" s="12"/>
      <c r="B14" s="14" t="s">
        <v>9</v>
      </c>
      <c r="C14" s="12">
        <f>'With class weights'!C14-'Without class weights'!C14</f>
        <v>-1.0960264057444991E-2</v>
      </c>
      <c r="D14" s="12">
        <f>'With class weights'!D14-'Without class weights'!D14</f>
        <v>-1.1867668178052959E-2</v>
      </c>
      <c r="E14" s="12">
        <f>'With class weights'!E14-'Without class weights'!E14</f>
        <v>-7.8458210636370707E-3</v>
      </c>
      <c r="F14" s="12">
        <f>'With class weights'!F14-'Without class weights'!F14</f>
        <v>-1.7430039084216031E-2</v>
      </c>
      <c r="G14" s="12">
        <f>'With class weights'!G14-'Without class weights'!G14</f>
        <v>-1.7425681060257991E-2</v>
      </c>
      <c r="H14" s="12">
        <f>'With class weights'!H14-'Without class weights'!H14</f>
        <v>-1.8724868818063012E-2</v>
      </c>
      <c r="I14" s="15"/>
      <c r="J14" s="16"/>
      <c r="K14" s="16"/>
      <c r="L14" s="17">
        <f>(L13-I13)/I13</f>
        <v>0</v>
      </c>
      <c r="M14" s="18">
        <f t="shared" ref="M14:N14" si="10">(M13-J13)/J13</f>
        <v>0</v>
      </c>
      <c r="N14" s="19">
        <f t="shared" si="10"/>
        <v>0</v>
      </c>
      <c r="O14" s="21">
        <f>(R13-I13)/I13</f>
        <v>0</v>
      </c>
      <c r="P14" s="21">
        <f t="shared" ref="P14:Q14" si="11">(S13-J13)/J13</f>
        <v>0</v>
      </c>
      <c r="Q14" s="21">
        <f t="shared" si="11"/>
        <v>0</v>
      </c>
      <c r="R14" s="17">
        <f>(R13-O13)/O13</f>
        <v>0</v>
      </c>
      <c r="S14" s="44">
        <f t="shared" ref="S14:T14" si="12">(S13-P13)/P13</f>
        <v>0</v>
      </c>
      <c r="T14" s="19">
        <f t="shared" si="12"/>
        <v>0</v>
      </c>
    </row>
    <row r="15" spans="1:20">
      <c r="A15" s="12"/>
      <c r="B15" s="14" t="s">
        <v>10</v>
      </c>
      <c r="C15" s="12">
        <f>'With class weights'!C15-'Without class weights'!C15</f>
        <v>1.4664043688309425E-3</v>
      </c>
      <c r="D15" s="12">
        <f>'With class weights'!D15-'Without class weights'!D15</f>
        <v>-1.238954549501603E-2</v>
      </c>
      <c r="E15" s="12">
        <f>'With class weights'!E15-'Without class weights'!E15</f>
        <v>-5.9083215611159812E-3</v>
      </c>
      <c r="F15" s="12">
        <f>'With class weights'!F15-'Without class weights'!F15</f>
        <v>9.49673407462992E-4</v>
      </c>
      <c r="G15" s="12">
        <f>'With class weights'!G15-'Without class weights'!G15</f>
        <v>-1.2784740516290971E-2</v>
      </c>
      <c r="H15" s="12">
        <f>'With class weights'!H15-'Without class weights'!H15</f>
        <v>-2.7583659055789855E-3</v>
      </c>
      <c r="I15" s="12">
        <f>'With class weights'!I15-'Without class weights'!I15</f>
        <v>9.9957063229894061E-4</v>
      </c>
      <c r="J15" s="41">
        <f>'With class weights'!J15-'Without class weights'!J15</f>
        <v>-1.1936967778179985E-2</v>
      </c>
      <c r="K15" s="41">
        <f>'With class weights'!K15-'Without class weights'!K15</f>
        <v>-5.2537548788100796E-3</v>
      </c>
      <c r="L15" s="12">
        <f>'With class weights'!L15-'Without class weights'!L15</f>
        <v>8.7718993629404274E-4</v>
      </c>
      <c r="M15" s="41">
        <f>'With class weights'!M15-'Without class weights'!M15</f>
        <v>-1.3184505535079993E-2</v>
      </c>
      <c r="N15" s="42">
        <f>'With class weights'!N15-'Without class weights'!N15</f>
        <v>-3.4433060655609804E-3</v>
      </c>
      <c r="O15" s="13">
        <f>'With class weights'!O15-'Without class weights'!O15</f>
        <v>2.4579327184309774E-3</v>
      </c>
      <c r="P15" s="41">
        <f>'With class weights'!P15-'Without class weights'!P15</f>
        <v>-8.5162701211639602E-3</v>
      </c>
      <c r="Q15" s="41">
        <f>'With class weights'!Q15-'Without class weights'!Q15</f>
        <v>-1.1068091519970125E-3</v>
      </c>
      <c r="R15" s="12">
        <f>'With class weights'!R15-'Without class weights'!R15</f>
        <v>2.2052221956280205E-3</v>
      </c>
      <c r="S15" s="41">
        <f>'With class weights'!S15-'Without class weights'!S15</f>
        <v>-8.3902434071589926E-3</v>
      </c>
      <c r="T15" s="14">
        <f>'With class weights'!T15-'Without class weights'!T15</f>
        <v>5.6416059726061007E-5</v>
      </c>
    </row>
    <row r="16" spans="1:20">
      <c r="A16" s="12"/>
      <c r="B16" s="14" t="s">
        <v>11</v>
      </c>
      <c r="C16" s="12">
        <f>'With class weights'!C16-'Without class weights'!C16</f>
        <v>-1.0871804782063066E-2</v>
      </c>
      <c r="D16" s="12">
        <f>'With class weights'!D16-'Without class weights'!D16</f>
        <v>-1.3136972024225035E-2</v>
      </c>
      <c r="E16" s="12">
        <f>'With class weights'!E16-'Without class weights'!E16</f>
        <v>-8.1132738652299752E-3</v>
      </c>
      <c r="F16" s="12">
        <f>'With class weights'!F16-'Without class weights'!F16</f>
        <v>-2.0484363977078091E-2</v>
      </c>
      <c r="G16" s="12">
        <f>'With class weights'!G16-'Without class weights'!G16</f>
        <v>-3.8661363129734005E-2</v>
      </c>
      <c r="H16" s="12">
        <f>'With class weights'!H16-'Without class weights'!H16</f>
        <v>-2.1180734855076988E-2</v>
      </c>
      <c r="I16" s="15"/>
      <c r="J16" s="16"/>
      <c r="K16" s="16"/>
      <c r="L16" s="17">
        <f>(L15-I15)/I15</f>
        <v>-0.12243326489437877</v>
      </c>
      <c r="M16" s="18">
        <f t="shared" ref="M16:N16" si="13">(M15-J15)/J15</f>
        <v>0.10451044017898978</v>
      </c>
      <c r="N16" s="19">
        <f t="shared" si="13"/>
        <v>-0.34460092924227687</v>
      </c>
      <c r="O16" s="21">
        <f>(R15-I15)/I15</f>
        <v>1.2061694535344321</v>
      </c>
      <c r="P16" s="21">
        <f t="shared" ref="P16:Q16" si="14">(S15-J15)/J15</f>
        <v>-0.29712104756655022</v>
      </c>
      <c r="Q16" s="21">
        <f t="shared" si="14"/>
        <v>-1.0107382359907204</v>
      </c>
      <c r="R16" s="17">
        <f>(R15-O15)/O15</f>
        <v>-0.10281425561732821</v>
      </c>
      <c r="S16" s="18">
        <f t="shared" ref="S16:T16" si="15">(S15-P15)/P15</f>
        <v>-1.4798346249231334E-2</v>
      </c>
      <c r="T16" s="19">
        <f t="shared" si="15"/>
        <v>-1.0509718045105334</v>
      </c>
    </row>
    <row r="17" spans="1:20">
      <c r="A17" s="12"/>
      <c r="B17" s="14" t="s">
        <v>12</v>
      </c>
      <c r="C17" s="12">
        <f>'With class weights'!C17-'Without class weights'!C17</f>
        <v>-1.1792396965260021E-2</v>
      </c>
      <c r="D17" s="12">
        <f>'With class weights'!D17-'Without class weights'!D17</f>
        <v>-1.4267694467553937E-2</v>
      </c>
      <c r="E17" s="12">
        <f>'With class weights'!E17-'Without class weights'!E17</f>
        <v>-7.3693280180879839E-3</v>
      </c>
      <c r="F17" s="12">
        <f>'With class weights'!F17-'Without class weights'!F17</f>
        <v>-2.0580168595727089E-2</v>
      </c>
      <c r="G17" s="12">
        <f>'With class weights'!G17-'Without class weights'!G17</f>
        <v>-3.8661363129734005E-2</v>
      </c>
      <c r="H17" s="12">
        <f>'With class weights'!H17-'Without class weights'!H17</f>
        <v>-2.1180734855076988E-2</v>
      </c>
      <c r="I17" s="12"/>
      <c r="J17" s="13"/>
      <c r="K17" s="13"/>
      <c r="L17" s="12"/>
      <c r="M17" s="13"/>
      <c r="N17" s="14"/>
      <c r="O17" s="13"/>
      <c r="P17" s="13"/>
      <c r="Q17" s="13"/>
      <c r="R17" s="12"/>
      <c r="S17" s="13"/>
      <c r="T17" s="14"/>
    </row>
    <row r="18" spans="1:20">
      <c r="A18" s="12"/>
      <c r="B18" s="14" t="s">
        <v>13</v>
      </c>
      <c r="C18" s="12">
        <f>'With class weights'!C18-'Without class weights'!C18</f>
        <v>-1.1493779418890071E-2</v>
      </c>
      <c r="D18" s="12">
        <f>'With class weights'!D18-'Without class weights'!D18</f>
        <v>-1.3815325318195071E-2</v>
      </c>
      <c r="E18" s="12">
        <f>'With class weights'!E18-'Without class weights'!E18</f>
        <v>-7.3908843085610521E-3</v>
      </c>
      <c r="F18" s="12">
        <f>'With class weights'!F18-'Without class weights'!F18</f>
        <v>-2.0114045296024008E-2</v>
      </c>
      <c r="G18" s="12">
        <f>'With class weights'!G18-'Without class weights'!G18</f>
        <v>-4.0159777477348002E-2</v>
      </c>
      <c r="H18" s="12">
        <f>'With class weights'!H18-'Without class weights'!H18</f>
        <v>-2.1587449964722061E-2</v>
      </c>
      <c r="I18" s="12"/>
      <c r="J18" s="13" t="s">
        <v>20</v>
      </c>
      <c r="K18" s="13" t="s">
        <v>21</v>
      </c>
      <c r="L18" s="24">
        <f>(O13-I13)/I13</f>
        <v>0</v>
      </c>
      <c r="M18" s="25">
        <f t="shared" ref="M18:N18" si="16">(P13-J13)/J13</f>
        <v>0</v>
      </c>
      <c r="N18" s="26">
        <f t="shared" si="16"/>
        <v>0</v>
      </c>
      <c r="O18" s="13"/>
      <c r="P18" s="13" t="s">
        <v>20</v>
      </c>
      <c r="Q18" s="13" t="s">
        <v>21</v>
      </c>
      <c r="R18" s="24">
        <f>(R13-L13)/L13</f>
        <v>0</v>
      </c>
      <c r="S18" s="25">
        <f t="shared" ref="S18:T18" si="17">(S13-M13)/M13</f>
        <v>0</v>
      </c>
      <c r="T18" s="26">
        <f t="shared" si="17"/>
        <v>0</v>
      </c>
    </row>
    <row r="19" spans="1:20">
      <c r="A19" s="12"/>
      <c r="B19" s="14" t="s">
        <v>14</v>
      </c>
      <c r="C19" s="12">
        <f>'With class weights'!C19-'Without class weights'!C19</f>
        <v>6.425599044958985E-3</v>
      </c>
      <c r="D19" s="12">
        <f>'With class weights'!D19-'Without class weights'!D19</f>
        <v>-2.982104125299978E-3</v>
      </c>
      <c r="E19" s="12">
        <f>'With class weights'!E19-'Without class weights'!E19</f>
        <v>-3.7942820179970305E-3</v>
      </c>
      <c r="F19" s="12">
        <f>'With class weights'!F19-'Without class weights'!F19</f>
        <v>-7.0448142021289906E-3</v>
      </c>
      <c r="G19" s="12">
        <f>'With class weights'!G19-'Without class weights'!G19</f>
        <v>-5.1922539900750575E-3</v>
      </c>
      <c r="H19" s="12">
        <f>'With class weights'!H19-'Without class weights'!H19</f>
        <v>-1.2065305867349219E-3</v>
      </c>
      <c r="I19" s="12"/>
      <c r="J19" s="13"/>
      <c r="K19" s="13" t="s">
        <v>10</v>
      </c>
      <c r="L19" s="24">
        <f>(O15-I15)/I15</f>
        <v>1.4589885286824691</v>
      </c>
      <c r="M19" s="25">
        <f t="shared" ref="M19:N19" si="18">(P15-J15)/J15</f>
        <v>-0.28656336521816217</v>
      </c>
      <c r="N19" s="26">
        <f t="shared" si="18"/>
        <v>-0.78932988357315725</v>
      </c>
      <c r="O19" s="13"/>
      <c r="P19" s="13"/>
      <c r="Q19" s="13" t="s">
        <v>10</v>
      </c>
      <c r="R19" s="24">
        <f>(R15-L15)/L15</f>
        <v>1.5139620330628236</v>
      </c>
      <c r="S19" s="25">
        <f t="shared" ref="S19:T19" si="19">(S15-M15)/M15</f>
        <v>-0.36362851190474416</v>
      </c>
      <c r="T19" s="26">
        <f t="shared" si="19"/>
        <v>-1.0163842710034752</v>
      </c>
    </row>
    <row r="20" spans="1:20">
      <c r="A20" s="6"/>
      <c r="B20" s="8"/>
      <c r="C20" s="12"/>
      <c r="D20" s="13"/>
      <c r="E20" s="14"/>
      <c r="F20" s="12"/>
      <c r="G20" s="13"/>
      <c r="H20" s="13"/>
      <c r="I20" s="12"/>
      <c r="J20" s="13"/>
      <c r="K20" s="13"/>
      <c r="L20" s="12"/>
      <c r="M20" s="13"/>
      <c r="N20" s="14"/>
      <c r="O20" s="13"/>
      <c r="P20" s="13"/>
      <c r="Q20" s="13"/>
      <c r="R20" s="12"/>
      <c r="S20" s="13"/>
      <c r="T20" s="14"/>
    </row>
    <row r="21" spans="1:20">
      <c r="A21" s="2"/>
      <c r="B21" s="4"/>
      <c r="C21" s="2" t="s">
        <v>0</v>
      </c>
      <c r="D21" s="3"/>
      <c r="E21" s="4"/>
      <c r="F21" s="2" t="s">
        <v>4</v>
      </c>
      <c r="G21" s="3"/>
      <c r="H21" s="3"/>
      <c r="I21" s="2" t="s">
        <v>19</v>
      </c>
      <c r="J21" s="3"/>
      <c r="K21" s="3"/>
      <c r="L21" s="2" t="s">
        <v>5</v>
      </c>
      <c r="M21" s="3"/>
      <c r="N21" s="4"/>
      <c r="O21" s="3" t="s">
        <v>6</v>
      </c>
      <c r="P21" s="3"/>
      <c r="Q21" s="3"/>
      <c r="R21" s="2" t="s">
        <v>7</v>
      </c>
      <c r="S21" s="3"/>
      <c r="T21" s="4"/>
    </row>
    <row r="22" spans="1:20">
      <c r="A22" s="12"/>
      <c r="B22" s="14"/>
      <c r="C22" s="6" t="s">
        <v>1</v>
      </c>
      <c r="D22" s="7" t="s">
        <v>3</v>
      </c>
      <c r="E22" s="8" t="s">
        <v>2</v>
      </c>
      <c r="F22" s="6" t="s">
        <v>1</v>
      </c>
      <c r="G22" s="7" t="s">
        <v>3</v>
      </c>
      <c r="H22" s="7" t="s">
        <v>2</v>
      </c>
      <c r="I22" s="9" t="s">
        <v>1</v>
      </c>
      <c r="J22" s="10" t="s">
        <v>3</v>
      </c>
      <c r="K22" s="10" t="s">
        <v>2</v>
      </c>
      <c r="L22" s="9" t="s">
        <v>1</v>
      </c>
      <c r="M22" s="10" t="s">
        <v>3</v>
      </c>
      <c r="N22" s="11" t="s">
        <v>2</v>
      </c>
      <c r="O22" s="10" t="s">
        <v>1</v>
      </c>
      <c r="P22" s="10" t="s">
        <v>3</v>
      </c>
      <c r="Q22" s="10" t="s">
        <v>2</v>
      </c>
      <c r="R22" s="9" t="s">
        <v>1</v>
      </c>
      <c r="S22" s="10" t="s">
        <v>3</v>
      </c>
      <c r="T22" s="11" t="s">
        <v>2</v>
      </c>
    </row>
    <row r="23" spans="1:20">
      <c r="A23" s="12" t="s">
        <v>17</v>
      </c>
      <c r="B23" s="14" t="s">
        <v>8</v>
      </c>
      <c r="C23" s="12">
        <f>'With class weights'!C23-'Without class weights'!C23</f>
        <v>-1.3056820625084953E-2</v>
      </c>
      <c r="D23" s="12">
        <f>'With class weights'!D23-'Without class weights'!D23</f>
        <v>-7.2137060414779741E-3</v>
      </c>
      <c r="E23" s="12">
        <f>'With class weights'!E23-'Without class weights'!E23</f>
        <v>-1.6064257028112983E-2</v>
      </c>
      <c r="F23" s="12">
        <f>'With class weights'!F23-'Without class weights'!F23</f>
        <v>-1.3056820625084953E-2</v>
      </c>
      <c r="G23" s="12">
        <f>'With class weights'!G23-'Without class weights'!G23</f>
        <v>-7.2137060414779741E-3</v>
      </c>
      <c r="H23" s="12">
        <f>'With class weights'!H23-'Without class weights'!H23</f>
        <v>-1.6064257028112983E-2</v>
      </c>
      <c r="I23" s="43">
        <f>'With class weights'!I23-'Without class weights'!I23</f>
        <v>-1.3056820625084953E-2</v>
      </c>
      <c r="J23" s="41">
        <f>'With class weights'!J23-'Without class weights'!J23</f>
        <v>-7.2137060414779741E-3</v>
      </c>
      <c r="K23" s="41">
        <f>'With class weights'!K23-'Without class weights'!K23</f>
        <v>-1.6064257028112983E-2</v>
      </c>
      <c r="L23" s="43">
        <f>'With class weights'!L23-'Without class weights'!L23</f>
        <v>-1.3056820625084953E-2</v>
      </c>
      <c r="M23" s="41">
        <f>'With class weights'!M23-'Without class weights'!M23</f>
        <v>-7.2137060414779741E-3</v>
      </c>
      <c r="N23" s="42">
        <f>'With class weights'!N23-'Without class weights'!N23</f>
        <v>-1.6064257028112983E-2</v>
      </c>
      <c r="O23" s="41">
        <f>'With class weights'!O23-'Without class weights'!O23</f>
        <v>-1.3056820625084953E-2</v>
      </c>
      <c r="P23" s="41">
        <f>'With class weights'!P23-'Without class weights'!P23</f>
        <v>-7.2137060414779741E-3</v>
      </c>
      <c r="Q23" s="41">
        <f>'With class weights'!Q23-'Without class weights'!Q23</f>
        <v>-1.6064257028112983E-2</v>
      </c>
      <c r="R23" s="43">
        <f>'With class weights'!R23-'Without class weights'!R23</f>
        <v>-1.3056820625084953E-2</v>
      </c>
      <c r="S23" s="41">
        <f>'With class weights'!S23-'Without class weights'!S23</f>
        <v>-7.2137060414779741E-3</v>
      </c>
      <c r="T23" s="42">
        <f>'With class weights'!T23-'Without class weights'!T23</f>
        <v>-1.6064257028112983E-2</v>
      </c>
    </row>
    <row r="24" spans="1:20">
      <c r="A24" s="12"/>
      <c r="B24" s="14" t="s">
        <v>9</v>
      </c>
      <c r="C24" s="12">
        <f>'With class weights'!C24-'Without class weights'!C24</f>
        <v>-7.5643556615390128E-3</v>
      </c>
      <c r="D24" s="12">
        <f>'With class weights'!D24-'Without class weights'!D24</f>
        <v>-8.5662759242559616E-3</v>
      </c>
      <c r="E24" s="12">
        <f>'With class weights'!E24-'Without class weights'!E24</f>
        <v>-5.0200803212849809E-3</v>
      </c>
      <c r="F24" s="12">
        <f>'With class weights'!F24-'Without class weights'!F24</f>
        <v>-1.2314067355993941E-2</v>
      </c>
      <c r="G24" s="12">
        <f>'With class weights'!G24-'Without class weights'!G24</f>
        <v>-1.3074842200180958E-2</v>
      </c>
      <c r="H24" s="12">
        <f>'With class weights'!H24-'Without class weights'!H24</f>
        <v>-1.3721552878179E-2</v>
      </c>
      <c r="I24" s="15"/>
      <c r="J24" s="16"/>
      <c r="K24" s="16"/>
      <c r="L24" s="17">
        <f>(L23-I23)/I23</f>
        <v>0</v>
      </c>
      <c r="M24" s="18">
        <f t="shared" ref="M24:N24" si="20">(M23-J23)/J23</f>
        <v>0</v>
      </c>
      <c r="N24" s="19">
        <f t="shared" si="20"/>
        <v>0</v>
      </c>
      <c r="O24" s="21">
        <f>(R23-I23)/I23</f>
        <v>0</v>
      </c>
      <c r="P24" s="21">
        <f t="shared" ref="P24:Q24" si="21">(S23-J23)/J23</f>
        <v>0</v>
      </c>
      <c r="Q24" s="21">
        <f t="shared" si="21"/>
        <v>0</v>
      </c>
      <c r="R24" s="17">
        <f>(R23-O23)/O23</f>
        <v>0</v>
      </c>
      <c r="S24" s="18">
        <f t="shared" ref="S24:T24" si="22">(S23-P23)/P23</f>
        <v>0</v>
      </c>
      <c r="T24" s="19">
        <f t="shared" si="22"/>
        <v>0</v>
      </c>
    </row>
    <row r="25" spans="1:20">
      <c r="A25" s="12"/>
      <c r="B25" s="14" t="s">
        <v>10</v>
      </c>
      <c r="C25" s="12">
        <f>'With class weights'!C25-'Without class weights'!C25</f>
        <v>1.42686812220294E-3</v>
      </c>
      <c r="D25" s="12">
        <f>'With class weights'!D25-'Without class weights'!D25</f>
        <v>-8.5662759242559616E-3</v>
      </c>
      <c r="E25" s="12">
        <f>'With class weights'!E25-'Without class weights'!E25</f>
        <v>-4.0160642570289395E-3</v>
      </c>
      <c r="F25" s="12">
        <f>'With class weights'!F25-'Without class weights'!F25</f>
        <v>1.0359453489960924E-3</v>
      </c>
      <c r="G25" s="12">
        <f>'With class weights'!G25-'Without class weights'!G25</f>
        <v>-8.5662759242559616E-3</v>
      </c>
      <c r="H25" s="12">
        <f>'With class weights'!H25-'Without class weights'!H25</f>
        <v>-1.3386880856760541E-3</v>
      </c>
      <c r="I25" s="12">
        <f>'With class weights'!I25-'Without class weights'!I25</f>
        <v>1.0554914876569343E-3</v>
      </c>
      <c r="J25" s="41">
        <f>'With class weights'!J25-'Without class weights'!J25</f>
        <v>-8.115419296662929E-3</v>
      </c>
      <c r="K25" s="41">
        <f>'With class weights'!K25-'Without class weights'!K25</f>
        <v>-3.3467202141900243E-3</v>
      </c>
      <c r="L25" s="12">
        <f>'With class weights'!L25-'Without class weights'!L25</f>
        <v>9.773069330150097E-4</v>
      </c>
      <c r="M25" s="41">
        <f>'With class weights'!M25-'Without class weights'!M25</f>
        <v>-9.0171325518489942E-3</v>
      </c>
      <c r="N25" s="42">
        <f>'With class weights'!N25-'Without class weights'!N25</f>
        <v>-1.6733601070950677E-3</v>
      </c>
      <c r="O25" s="13">
        <f>'With class weights'!O25-'Without class weights'!O25</f>
        <v>2.1696213912939522E-3</v>
      </c>
      <c r="P25" s="41">
        <f>'With class weights'!P25-'Without class weights'!P25</f>
        <v>-6.3119927862940184E-3</v>
      </c>
      <c r="Q25" s="41">
        <f>'With class weights'!Q25-'Without class weights'!Q25</f>
        <v>-3.3467202141901353E-4</v>
      </c>
      <c r="R25" s="12">
        <f>'With class weights'!R25-'Without class weights'!R25</f>
        <v>1.9937061433520364E-3</v>
      </c>
      <c r="S25" s="41">
        <f>'With class weights'!S25-'Without class weights'!S25</f>
        <v>-5.8611361587009858E-3</v>
      </c>
      <c r="T25" s="14">
        <f>'With class weights'!T25-'Without class weights'!T25</f>
        <v>6.6934404283802706E-4</v>
      </c>
    </row>
    <row r="26" spans="1:20">
      <c r="A26" s="12"/>
      <c r="B26" s="14" t="s">
        <v>11</v>
      </c>
      <c r="C26" s="12">
        <f>'With class weights'!C26-'Without class weights'!C26</f>
        <v>-7.4666249682379116E-3</v>
      </c>
      <c r="D26" s="12">
        <f>'With class weights'!D26-'Without class weights'!D26</f>
        <v>-9.4679891794410276E-3</v>
      </c>
      <c r="E26" s="12">
        <f>'With class weights'!E26-'Without class weights'!E26</f>
        <v>-5.3547523427039945E-3</v>
      </c>
      <c r="F26" s="12">
        <f>'With class weights'!F26-'Without class weights'!F26</f>
        <v>-1.3565020230253966E-2</v>
      </c>
      <c r="G26" s="12">
        <f>'With class weights'!G26-'Without class weights'!G26</f>
        <v>-2.8403967538322972E-2</v>
      </c>
      <c r="H26" s="12">
        <f>'With class weights'!H26-'Without class weights'!H26</f>
        <v>-1.4056224899598901E-2</v>
      </c>
      <c r="I26" s="15"/>
      <c r="J26" s="16"/>
      <c r="K26" s="16"/>
      <c r="L26" s="17">
        <f>(L25-I25)/I25</f>
        <v>-7.4074074074709076E-2</v>
      </c>
      <c r="M26" s="18">
        <f t="shared" ref="M26:N26" si="23">(M25-J25)/J25</f>
        <v>0.11111111111127071</v>
      </c>
      <c r="N26" s="19">
        <f t="shared" si="23"/>
        <v>-0.4999999999999834</v>
      </c>
      <c r="O26" s="21">
        <f>(R25-I25)/I25</f>
        <v>0.88888888888893569</v>
      </c>
      <c r="P26" s="21">
        <f t="shared" ref="P26:Q26" si="24">(S25-J25)/J25</f>
        <v>-0.27777777777778007</v>
      </c>
      <c r="Q26" s="21">
        <f t="shared" si="24"/>
        <v>-1.2000000000000066</v>
      </c>
      <c r="R26" s="17">
        <f>(R25-O25)/O25</f>
        <v>-8.1081081080695228E-2</v>
      </c>
      <c r="S26" s="18">
        <f t="shared" ref="S26:T26" si="25">(S25-P25)/P25</f>
        <v>-7.1428571428666918E-2</v>
      </c>
      <c r="T26" s="19">
        <f t="shared" si="25"/>
        <v>-3</v>
      </c>
    </row>
    <row r="27" spans="1:20">
      <c r="A27" s="12"/>
      <c r="B27" s="14" t="s">
        <v>12</v>
      </c>
      <c r="C27" s="12">
        <f>'With class weights'!C27-'Without class weights'!C27</f>
        <v>-8.1702859600080169E-3</v>
      </c>
      <c r="D27" s="12">
        <f>'With class weights'!D27-'Without class weights'!D27</f>
        <v>-1.0369702434625983E-2</v>
      </c>
      <c r="E27" s="12">
        <f>'With class weights'!E27-'Without class weights'!E27</f>
        <v>-4.6854082998659674E-3</v>
      </c>
      <c r="F27" s="12">
        <f>'With class weights'!F27-'Without class weights'!F27</f>
        <v>-1.3643204784895002E-2</v>
      </c>
      <c r="G27" s="12">
        <f>'With class weights'!G27-'Without class weights'!G27</f>
        <v>-2.8403967538322972E-2</v>
      </c>
      <c r="H27" s="12">
        <f>'With class weights'!H27-'Without class weights'!H27</f>
        <v>-1.4056224899598901E-2</v>
      </c>
      <c r="I27" s="12"/>
      <c r="J27" s="13"/>
      <c r="K27" s="13"/>
      <c r="L27" s="12"/>
      <c r="M27" s="13"/>
      <c r="N27" s="14"/>
      <c r="O27" s="13"/>
      <c r="P27" s="13"/>
      <c r="Q27" s="13"/>
      <c r="R27" s="12"/>
      <c r="S27" s="13"/>
      <c r="T27" s="14"/>
    </row>
    <row r="28" spans="1:20">
      <c r="A28" s="12"/>
      <c r="B28" s="14" t="s">
        <v>13</v>
      </c>
      <c r="C28" s="12">
        <f>'With class weights'!C28-'Without class weights'!C28</f>
        <v>-7.8966400187649999E-3</v>
      </c>
      <c r="D28" s="12">
        <f>'With class weights'!D28-'Without class weights'!D28</f>
        <v>-9.9188458070329499E-3</v>
      </c>
      <c r="E28" s="12">
        <f>'With class weights'!E28-'Without class weights'!E28</f>
        <v>-4.6854082998659674E-3</v>
      </c>
      <c r="F28" s="12">
        <f>'With class weights'!F28-'Without class weights'!F28</f>
        <v>-1.3291374289010061E-2</v>
      </c>
      <c r="G28" s="12">
        <f>'With class weights'!G28-'Without class weights'!G28</f>
        <v>-2.975653742109996E-2</v>
      </c>
      <c r="H28" s="12">
        <f>'With class weights'!H28-'Without class weights'!H28</f>
        <v>-1.4390896921017915E-2</v>
      </c>
      <c r="I28" s="12"/>
      <c r="J28" s="13" t="s">
        <v>20</v>
      </c>
      <c r="K28" s="13" t="s">
        <v>21</v>
      </c>
      <c r="L28" s="24">
        <f>(O23-I23)/I23</f>
        <v>0</v>
      </c>
      <c r="M28" s="25">
        <f t="shared" ref="M28:N28" si="26">(P23-J23)/J23</f>
        <v>0</v>
      </c>
      <c r="N28" s="26">
        <f t="shared" si="26"/>
        <v>0</v>
      </c>
      <c r="O28" s="13"/>
      <c r="P28" s="13" t="s">
        <v>20</v>
      </c>
      <c r="Q28" s="13" t="s">
        <v>21</v>
      </c>
      <c r="R28" s="24">
        <f>(R23-L23)/L23</f>
        <v>0</v>
      </c>
      <c r="S28" s="25">
        <f t="shared" ref="S28:T28" si="27">(S23-M23)/M23</f>
        <v>0</v>
      </c>
      <c r="T28" s="26">
        <f t="shared" si="27"/>
        <v>0</v>
      </c>
    </row>
    <row r="29" spans="1:20">
      <c r="A29" s="12"/>
      <c r="B29" s="14" t="s">
        <v>14</v>
      </c>
      <c r="C29" s="12">
        <f>'With class weights'!C29-'Without class weights'!C29</f>
        <v>5.3360958542640891E-3</v>
      </c>
      <c r="D29" s="12">
        <f>'With class weights'!D29-'Without class weights'!D29</f>
        <v>-2.2542831379620543E-3</v>
      </c>
      <c r="E29" s="12">
        <f>'With class weights'!E29-'Without class weights'!E29</f>
        <v>-3.0120481927710108E-3</v>
      </c>
      <c r="F29" s="12">
        <f>'With class weights'!F29-'Without class weights'!F29</f>
        <v>-5.6683802114889659E-3</v>
      </c>
      <c r="G29" s="12">
        <f>'With class weights'!G29-'Without class weights'!G29</f>
        <v>-4.0577096483319641E-3</v>
      </c>
      <c r="H29" s="12">
        <f>'With class weights'!H29-'Without class weights'!H29</f>
        <v>-6.6934404283802706E-4</v>
      </c>
      <c r="I29" s="12"/>
      <c r="J29" s="13"/>
      <c r="K29" s="13" t="s">
        <v>10</v>
      </c>
      <c r="L29" s="24">
        <f>(O25-I25)/I25</f>
        <v>1.0555555555547433</v>
      </c>
      <c r="M29" s="25">
        <f t="shared" ref="M29:N29" si="28">(P25-J25)/J25</f>
        <v>-0.22222222222214469</v>
      </c>
      <c r="N29" s="26">
        <f t="shared" si="28"/>
        <v>-0.89999999999999669</v>
      </c>
      <c r="O29" s="13"/>
      <c r="P29" s="13"/>
      <c r="Q29" s="13" t="s">
        <v>10</v>
      </c>
      <c r="R29" s="24">
        <f>(R25-L25)/L25</f>
        <v>1.0400000000014495</v>
      </c>
      <c r="S29" s="25">
        <f t="shared" ref="S29:T29" si="29">(S25-M25)/M25</f>
        <v>-0.3500000000000954</v>
      </c>
      <c r="T29" s="26">
        <f t="shared" si="29"/>
        <v>-1.4</v>
      </c>
    </row>
    <row r="30" spans="1:20">
      <c r="A30" s="6"/>
      <c r="B30" s="8"/>
      <c r="C30" s="12"/>
      <c r="D30" s="13"/>
      <c r="E30" s="14"/>
      <c r="F30" s="12"/>
      <c r="G30" s="13"/>
      <c r="H30" s="13"/>
      <c r="I30" s="6"/>
      <c r="J30" s="7"/>
      <c r="K30" s="7"/>
      <c r="L30" s="6"/>
      <c r="M30" s="7"/>
      <c r="N30" s="8"/>
      <c r="O30" s="7"/>
      <c r="P30" s="7"/>
      <c r="Q30" s="7"/>
      <c r="R30" s="6"/>
      <c r="S30" s="7"/>
      <c r="T30" s="8"/>
    </row>
    <row r="31" spans="1:20">
      <c r="A31" s="2"/>
      <c r="B31" s="4"/>
      <c r="C31" s="2" t="s">
        <v>0</v>
      </c>
      <c r="D31" s="3"/>
      <c r="E31" s="4"/>
      <c r="F31" s="2" t="s">
        <v>4</v>
      </c>
      <c r="G31" s="3"/>
      <c r="H31" s="3"/>
      <c r="I31" s="2" t="s">
        <v>19</v>
      </c>
      <c r="J31" s="3"/>
      <c r="K31" s="3"/>
      <c r="L31" s="2" t="s">
        <v>5</v>
      </c>
      <c r="M31" s="3"/>
      <c r="N31" s="4"/>
      <c r="O31" s="3" t="s">
        <v>6</v>
      </c>
      <c r="P31" s="3"/>
      <c r="Q31" s="3"/>
      <c r="R31" s="2" t="s">
        <v>7</v>
      </c>
      <c r="S31" s="3"/>
      <c r="T31" s="4"/>
    </row>
    <row r="32" spans="1:20">
      <c r="A32" s="12"/>
      <c r="B32" s="14"/>
      <c r="C32" s="6" t="s">
        <v>1</v>
      </c>
      <c r="D32" s="7" t="s">
        <v>3</v>
      </c>
      <c r="E32" s="8" t="s">
        <v>2</v>
      </c>
      <c r="F32" s="6" t="s">
        <v>1</v>
      </c>
      <c r="G32" s="7" t="s">
        <v>3</v>
      </c>
      <c r="H32" s="7" t="s">
        <v>2</v>
      </c>
      <c r="I32" s="9" t="s">
        <v>1</v>
      </c>
      <c r="J32" s="10" t="s">
        <v>3</v>
      </c>
      <c r="K32" s="10" t="s">
        <v>2</v>
      </c>
      <c r="L32" s="9" t="s">
        <v>1</v>
      </c>
      <c r="M32" s="10" t="s">
        <v>3</v>
      </c>
      <c r="N32" s="11" t="s">
        <v>2</v>
      </c>
      <c r="O32" s="10" t="s">
        <v>1</v>
      </c>
      <c r="P32" s="10" t="s">
        <v>3</v>
      </c>
      <c r="Q32" s="10" t="s">
        <v>2</v>
      </c>
      <c r="R32" s="9" t="s">
        <v>1</v>
      </c>
      <c r="S32" s="10" t="s">
        <v>3</v>
      </c>
      <c r="T32" s="11" t="s">
        <v>2</v>
      </c>
    </row>
    <row r="33" spans="1:20">
      <c r="A33" s="12" t="s">
        <v>18</v>
      </c>
      <c r="B33" s="14" t="s">
        <v>8</v>
      </c>
      <c r="C33" s="2">
        <f>'With class weights'!C33-'Without class weights'!C33</f>
        <v>-2.0208930797339986E-2</v>
      </c>
      <c r="D33" s="2">
        <f>'With class weights'!D33-'Without class weights'!D33</f>
        <v>-1.842952312590207E-2</v>
      </c>
      <c r="E33" s="2">
        <f>'With class weights'!E33-'Without class weights'!E33</f>
        <v>-2.3952586552589916E-2</v>
      </c>
      <c r="F33" s="2">
        <f>'With class weights'!F33-'Without class weights'!F33</f>
        <v>-2.0208930797339986E-2</v>
      </c>
      <c r="G33" s="2">
        <f>'With class weights'!G33-'Without class weights'!G33</f>
        <v>-1.842952312590207E-2</v>
      </c>
      <c r="H33" s="35">
        <f>'With class weights'!H33-'Without class weights'!H33</f>
        <v>-2.3952586552589916E-2</v>
      </c>
      <c r="I33" s="43">
        <f>'With class weights'!I33-'Without class weights'!I33</f>
        <v>-2.0208930797339986E-2</v>
      </c>
      <c r="J33" s="41">
        <f>'With class weights'!J33-'Without class weights'!J33</f>
        <v>-1.842952312590207E-2</v>
      </c>
      <c r="K33" s="41">
        <f>'With class weights'!K33-'Without class weights'!K33</f>
        <v>-2.3952586552589916E-2</v>
      </c>
      <c r="L33" s="43">
        <f>'With class weights'!L33-'Without class weights'!L33</f>
        <v>-2.0208930797339986E-2</v>
      </c>
      <c r="M33" s="41">
        <f>'With class weights'!M33-'Without class weights'!M33</f>
        <v>-1.842952312590207E-2</v>
      </c>
      <c r="N33" s="42">
        <f>'With class weights'!N33-'Without class weights'!N33</f>
        <v>-2.3952586552589916E-2</v>
      </c>
      <c r="O33" s="41">
        <f>'With class weights'!O33-'Without class weights'!O33</f>
        <v>-2.0208930797339986E-2</v>
      </c>
      <c r="P33" s="41">
        <f>'With class weights'!P33-'Without class weights'!P33</f>
        <v>-1.842952312590207E-2</v>
      </c>
      <c r="Q33" s="41">
        <f>'With class weights'!Q33-'Without class weights'!Q33</f>
        <v>-2.3952586552589916E-2</v>
      </c>
      <c r="R33" s="43">
        <f>'With class weights'!R33-'Without class weights'!R33</f>
        <v>-2.0208930797339986E-2</v>
      </c>
      <c r="S33" s="41">
        <f>'With class weights'!S33-'Without class weights'!S33</f>
        <v>-1.842952312590207E-2</v>
      </c>
      <c r="T33" s="42">
        <f>'With class weights'!T33-'Without class weights'!T33</f>
        <v>-2.3952586552589916E-2</v>
      </c>
    </row>
    <row r="34" spans="1:20">
      <c r="A34" s="12"/>
      <c r="B34" s="14" t="s">
        <v>9</v>
      </c>
      <c r="C34" s="12">
        <f>'With class weights'!C34-'Without class weights'!C34</f>
        <v>-8.2719038270480105E-3</v>
      </c>
      <c r="D34" s="12">
        <f>'With class weights'!D34-'Without class weights'!D34</f>
        <v>-9.3424154825060279E-3</v>
      </c>
      <c r="E34" s="12">
        <f>'With class weights'!E34-'Without class weights'!E34</f>
        <v>-5.8780758485299511E-3</v>
      </c>
      <c r="F34" s="12">
        <f>'With class weights'!F34-'Without class weights'!F34</f>
        <v>-1.322556187828694E-2</v>
      </c>
      <c r="G34" s="12">
        <f>'With class weights'!G34-'Without class weights'!G34</f>
        <v>-1.3873959943962011E-2</v>
      </c>
      <c r="H34" s="36">
        <f>'With class weights'!H34-'Without class weights'!H34</f>
        <v>-1.4769507681794081E-2</v>
      </c>
      <c r="I34" s="15"/>
      <c r="J34" s="16"/>
      <c r="K34" s="16"/>
      <c r="L34" s="17">
        <f>(L33-I33)/I33</f>
        <v>0</v>
      </c>
      <c r="M34" s="18">
        <f t="shared" ref="M34:N34" si="30">(M33-J33)/J33</f>
        <v>0</v>
      </c>
      <c r="N34" s="19">
        <f t="shared" si="30"/>
        <v>0</v>
      </c>
      <c r="O34" s="21">
        <f>(R33-I33)/I33</f>
        <v>0</v>
      </c>
      <c r="P34" s="21">
        <f t="shared" ref="P34:Q34" si="31">(S33-J33)/J33</f>
        <v>0</v>
      </c>
      <c r="Q34" s="21">
        <f t="shared" si="31"/>
        <v>0</v>
      </c>
      <c r="R34" s="17">
        <f>(R33-O33)/O33</f>
        <v>0</v>
      </c>
      <c r="S34" s="18">
        <f t="shared" ref="S34:T34" si="32">(S33-P33)/P33</f>
        <v>0</v>
      </c>
      <c r="T34" s="19">
        <f t="shared" si="32"/>
        <v>0</v>
      </c>
    </row>
    <row r="35" spans="1:20">
      <c r="A35" s="12"/>
      <c r="B35" s="14" t="s">
        <v>10</v>
      </c>
      <c r="C35" s="12">
        <f>'With class weights'!C35-'Without class weights'!C35</f>
        <v>1.3125935273800016E-3</v>
      </c>
      <c r="D35" s="12">
        <f>'With class weights'!D35-'Without class weights'!D35</f>
        <v>-9.6532731920070391E-3</v>
      </c>
      <c r="E35" s="12">
        <f>'With class weights'!E35-'Without class weights'!E35</f>
        <v>-4.5701208410670047E-3</v>
      </c>
      <c r="F35" s="12">
        <f>'With class weights'!F35-'Without class weights'!F35</f>
        <v>9.0508770407593531E-4</v>
      </c>
      <c r="G35" s="12">
        <f>'With class weights'!G35-'Without class weights'!G35</f>
        <v>-9.8345257170640021E-3</v>
      </c>
      <c r="H35" s="12">
        <f>'With class weights'!H35-'Without class weights'!H35</f>
        <v>-1.8869767640639079E-3</v>
      </c>
      <c r="I35" s="12">
        <f>'With class weights'!I35-'Without class weights'!I35</f>
        <v>9.354495879360103E-4</v>
      </c>
      <c r="J35" s="41">
        <f>'With class weights'!J35-'Without class weights'!J35</f>
        <v>-9.2422694733369504E-3</v>
      </c>
      <c r="K35" s="41">
        <f>'With class weights'!K35-'Without class weights'!K35</f>
        <v>-3.9590593335019353E-3</v>
      </c>
      <c r="L35" s="12">
        <f>'With class weights'!L35-'Without class weights'!L35</f>
        <v>8.4607178078099921E-4</v>
      </c>
      <c r="M35" s="41">
        <f>'With class weights'!M35-'Without class weights'!M35</f>
        <v>-1.0222118752164944E-2</v>
      </c>
      <c r="N35" s="42">
        <f>'With class weights'!N35-'Without class weights'!N35</f>
        <v>-2.3576911493359276E-3</v>
      </c>
      <c r="O35" s="13">
        <f>'With class weights'!O35-'Without class weights'!O35</f>
        <v>2.0912791854450496E-3</v>
      </c>
      <c r="P35" s="41">
        <f>'With class weights'!P35-'Without class weights'!P35</f>
        <v>-6.8045733834649624E-3</v>
      </c>
      <c r="Q35" s="41">
        <f>'With class weights'!Q35-'Without class weights'!Q35</f>
        <v>-6.4604029150994169E-4</v>
      </c>
      <c r="R35" s="12">
        <f>'With class weights'!R35-'Without class weights'!R35</f>
        <v>1.8995560248750154E-3</v>
      </c>
      <c r="S35" s="41">
        <f>'With class weights'!S35-'Without class weights'!S35</f>
        <v>-6.536671975306052E-3</v>
      </c>
      <c r="T35" s="14">
        <f>'With class weights'!T35-'Without class weights'!T35</f>
        <v>3.4952090827700122E-4</v>
      </c>
    </row>
    <row r="36" spans="1:20">
      <c r="A36" s="12"/>
      <c r="B36" s="14" t="s">
        <v>11</v>
      </c>
      <c r="C36" s="12">
        <f>'With class weights'!C36-'Without class weights'!C36</f>
        <v>-8.2036798689989476E-3</v>
      </c>
      <c r="D36" s="12">
        <f>'With class weights'!D36-'Without class weights'!D36</f>
        <v>-1.0357122400589946E-2</v>
      </c>
      <c r="E36" s="12">
        <f>'With class weights'!E36-'Without class weights'!E36</f>
        <v>-6.1727148305870116E-3</v>
      </c>
      <c r="F36" s="12">
        <f>'With class weights'!F36-'Without class weights'!F36</f>
        <v>-1.5211358962764931E-2</v>
      </c>
      <c r="G36" s="12">
        <f>'With class weights'!G36-'Without class weights'!G36</f>
        <v>-3.073208398052496E-2</v>
      </c>
      <c r="H36" s="36">
        <f>'With class weights'!H36-'Without class weights'!H36</f>
        <v>-1.6160700257129013E-2</v>
      </c>
      <c r="I36" s="15"/>
      <c r="J36" s="16"/>
      <c r="K36" s="16"/>
      <c r="L36" s="17">
        <f>(L35-I35)/I35</f>
        <v>-9.5545295339982558E-2</v>
      </c>
      <c r="M36" s="18">
        <f t="shared" ref="M36:N36" si="33">(M35-J35)/J35</f>
        <v>0.10601825467811378</v>
      </c>
      <c r="N36" s="19">
        <f t="shared" si="33"/>
        <v>-0.40448198657066803</v>
      </c>
      <c r="O36" s="21">
        <f>(R35-I35)/I35</f>
        <v>1.0306343060840122</v>
      </c>
      <c r="P36" s="21">
        <f t="shared" ref="P36:Q36" si="34">(S35-J35)/J35</f>
        <v>-0.29274168058357142</v>
      </c>
      <c r="Q36" s="21">
        <f t="shared" si="34"/>
        <v>-1.088283826746248</v>
      </c>
      <c r="R36" s="17">
        <f>(R35-O35)/O35</f>
        <v>-9.1677458420853175E-2</v>
      </c>
      <c r="S36" s="18">
        <f t="shared" ref="S36:T36" si="35">(S35-P35)/P35</f>
        <v>-3.9370786831384293E-2</v>
      </c>
      <c r="T36" s="19">
        <f t="shared" si="35"/>
        <v>-1.5410202937344544</v>
      </c>
    </row>
    <row r="37" spans="1:20">
      <c r="A37" s="12"/>
      <c r="B37" s="14" t="s">
        <v>12</v>
      </c>
      <c r="C37" s="12">
        <f>'With class weights'!C37-'Without class weights'!C37</f>
        <v>-8.9323440520910902E-3</v>
      </c>
      <c r="D37" s="12">
        <f>'With class weights'!D37-'Without class weights'!D37</f>
        <v>-1.129092752777705E-2</v>
      </c>
      <c r="E37" s="12">
        <f>'With class weights'!E37-'Without class weights'!E37</f>
        <v>-5.5198764182670113E-3</v>
      </c>
      <c r="F37" s="12">
        <f>'With class weights'!F37-'Without class weights'!F37</f>
        <v>-1.5289695739128972E-2</v>
      </c>
      <c r="G37" s="12">
        <f>'With class weights'!G37-'Without class weights'!G37</f>
        <v>-3.073208398052496E-2</v>
      </c>
      <c r="H37" s="36">
        <f>'With class weights'!H37-'Without class weights'!H37</f>
        <v>-1.6160700257129013E-2</v>
      </c>
      <c r="I37" s="12"/>
      <c r="J37" s="13"/>
      <c r="K37" s="13"/>
      <c r="L37" s="12"/>
      <c r="M37" s="13"/>
      <c r="N37" s="14"/>
      <c r="O37" s="13"/>
      <c r="P37" s="13"/>
      <c r="Q37" s="13"/>
      <c r="R37" s="12"/>
      <c r="S37" s="13"/>
      <c r="T37" s="14"/>
    </row>
    <row r="38" spans="1:20">
      <c r="A38" s="12"/>
      <c r="B38" s="14" t="s">
        <v>13</v>
      </c>
      <c r="C38" s="12">
        <f>'With class weights'!C38-'Without class weights'!C38</f>
        <v>-8.6730946845730017E-3</v>
      </c>
      <c r="D38" s="12">
        <f>'With class weights'!D38-'Without class weights'!D38</f>
        <v>-1.087268750025705E-2</v>
      </c>
      <c r="E38" s="12">
        <f>'With class weights'!E38-'Without class weights'!E38</f>
        <v>-5.5294716855109893E-3</v>
      </c>
      <c r="F38" s="12">
        <f>'With class weights'!F38-'Without class weights'!F38</f>
        <v>-1.4923493308385938E-2</v>
      </c>
      <c r="G38" s="12">
        <f>'With class weights'!G38-'Without class weights'!G38</f>
        <v>-3.2047068919209942E-2</v>
      </c>
      <c r="H38" s="36">
        <f>'With class weights'!H38-'Without class weights'!H38</f>
        <v>-1.6501417730721002E-2</v>
      </c>
      <c r="I38" s="12"/>
      <c r="J38" s="13" t="s">
        <v>20</v>
      </c>
      <c r="K38" s="13" t="s">
        <v>21</v>
      </c>
      <c r="L38" s="24">
        <f>(O33-I33)/I33</f>
        <v>0</v>
      </c>
      <c r="M38" s="25">
        <f t="shared" ref="M38:N38" si="36">(P33-J33)/J33</f>
        <v>0</v>
      </c>
      <c r="N38" s="26">
        <f t="shared" si="36"/>
        <v>0</v>
      </c>
      <c r="O38" s="13"/>
      <c r="P38" s="13" t="s">
        <v>20</v>
      </c>
      <c r="Q38" s="13" t="s">
        <v>21</v>
      </c>
      <c r="R38" s="24">
        <f>(R33-L33)/L33</f>
        <v>0</v>
      </c>
      <c r="S38" s="25">
        <f t="shared" ref="S38:T38" si="37">(S33-M33)/M33</f>
        <v>0</v>
      </c>
      <c r="T38" s="26">
        <f t="shared" si="37"/>
        <v>0</v>
      </c>
    </row>
    <row r="39" spans="1:20">
      <c r="A39" s="6"/>
      <c r="B39" s="8" t="s">
        <v>14</v>
      </c>
      <c r="C39" s="6">
        <f>'With class weights'!C39-'Without class weights'!C39</f>
        <v>5.3020013066039651E-3</v>
      </c>
      <c r="D39" s="6">
        <f>'With class weights'!D39-'Without class weights'!D39</f>
        <v>-2.3967727468320321E-3</v>
      </c>
      <c r="E39" s="6">
        <f>'With class weights'!E39-'Without class weights'!E39</f>
        <v>-3.1282593793520164E-3</v>
      </c>
      <c r="F39" s="6">
        <f>'With class weights'!F39-'Without class weights'!F39</f>
        <v>-5.7221923683410392E-3</v>
      </c>
      <c r="G39" s="6">
        <f>'With class weights'!G39-'Without class weights'!G39</f>
        <v>-4.2399662622889522E-3</v>
      </c>
      <c r="H39" s="37">
        <f>'With class weights'!H39-'Without class weights'!H39</f>
        <v>-8.5336340163499891E-4</v>
      </c>
      <c r="I39" s="6"/>
      <c r="J39" s="7"/>
      <c r="K39" s="7" t="s">
        <v>10</v>
      </c>
      <c r="L39" s="27">
        <f>(O35-I35)/I35</f>
        <v>1.2355872645786063</v>
      </c>
      <c r="M39" s="28">
        <f t="shared" ref="M39:N39" si="38">(P35-J35)/J35</f>
        <v>-0.26375514119172833</v>
      </c>
      <c r="N39" s="29">
        <f t="shared" si="38"/>
        <v>-0.83681975007469889</v>
      </c>
      <c r="O39" s="7"/>
      <c r="P39" s="7"/>
      <c r="Q39" s="7" t="s">
        <v>10</v>
      </c>
      <c r="R39" s="27">
        <f>(R35-L35)/L35</f>
        <v>1.2451475962495249</v>
      </c>
      <c r="S39" s="28">
        <f t="shared" ref="S39:T39" si="39">(S35-M35)/M35</f>
        <v>-0.36053648624247792</v>
      </c>
      <c r="T39" s="29">
        <f t="shared" si="39"/>
        <v>-1.148247113866228</v>
      </c>
    </row>
  </sheetData>
  <conditionalFormatting sqref="C33:H39">
    <cfRule type="cellIs" dxfId="5" priority="5" operator="greaterThan">
      <formula>0</formula>
    </cfRule>
    <cfRule type="cellIs" dxfId="4" priority="6" operator="greaterThan">
      <formula>0</formula>
    </cfRule>
  </conditionalFormatting>
  <conditionalFormatting sqref="C10:K10 C8:I9 C20:K20 C18:I19 C39:J39 C38:I38 C30:K30 C28:I28 C29:J29 C3:K7 C13:K17 C23:K27 C33:K37">
    <cfRule type="cellIs" dxfId="3" priority="4" stopIfTrue="1" operator="greaterThan">
      <formula>0</formula>
    </cfRule>
  </conditionalFormatting>
  <conditionalFormatting sqref="C20:K20 C18:I19 C39:J39 C38:I38 C30:K30 C28:I28 C29:J29 C3:K10 C13:K17 C23:K27 C33:K37">
    <cfRule type="cellIs" dxfId="2" priority="3" stopIfTrue="1" operator="lessThan">
      <formula>0</formula>
    </cfRule>
  </conditionalFormatting>
  <conditionalFormatting sqref="L3:T3 L5:T5 L13:T13 L15:T15 L23:T23 L25:T25 L33:T33 L35:T35">
    <cfRule type="cellIs" dxfId="1" priority="2" operator="greaterThan">
      <formula>0</formula>
    </cfRule>
  </conditionalFormatting>
  <conditionalFormatting sqref="L3:T3 L5:T5 L13:T13 L15:T15 L23:T23 L25:T25 L33:T33 L35:T35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With class weights</vt:lpstr>
      <vt:lpstr>Without class weights</vt:lpstr>
      <vt:lpstr>Change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2020-02-22T20:15:10Z</dcterms:created>
  <dcterms:modified xsi:type="dcterms:W3CDTF">2020-03-25T19:33:33Z</dcterms:modified>
</cp:coreProperties>
</file>